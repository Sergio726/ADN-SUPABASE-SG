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ebastian\Downloads\"/>
    </mc:Choice>
  </mc:AlternateContent>
  <xr:revisionPtr revIDLastSave="0" documentId="13_ncr:1_{81887488-1503-45F0-B8CE-6D0F987F1B67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PRECIOS TODOS" sheetId="1" r:id="rId1"/>
    <sheet name="Cerco con rollo de 2mt" sheetId="2" r:id="rId2"/>
    <sheet name="Cerco con rollo de  1.8mt" sheetId="3" r:id="rId3"/>
    <sheet name="Cerco con rollo de  1.5mt" sheetId="4" r:id="rId4"/>
    <sheet name="Cerco con rollo de 1.2mt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12" roundtripDataChecksum="PSN925EXQT6gLBMEDpluxgyyDH97FbuEOAinO8pbJck="/>
    </ext>
  </extLst>
</workbook>
</file>

<file path=xl/calcChain.xml><?xml version="1.0" encoding="utf-8"?>
<calcChain xmlns="http://schemas.openxmlformats.org/spreadsheetml/2006/main">
  <c r="E33" i="5" l="1"/>
  <c r="E27" i="5"/>
  <c r="E26" i="5"/>
  <c r="E15" i="5"/>
  <c r="E13" i="5"/>
  <c r="E42" i="5"/>
  <c r="E34" i="3"/>
  <c r="E15" i="4"/>
  <c r="F15" i="4" s="1"/>
  <c r="E13" i="4"/>
  <c r="F13" i="4" s="1"/>
  <c r="E33" i="2"/>
  <c r="F33" i="2" s="1"/>
  <c r="E28" i="5"/>
  <c r="F28" i="5" s="1"/>
  <c r="E23" i="2"/>
  <c r="F23" i="2" s="1"/>
  <c r="E22" i="2"/>
  <c r="F22" i="2" s="1"/>
  <c r="E7" i="5"/>
  <c r="E4" i="5"/>
  <c r="E8" i="4"/>
  <c r="E5" i="4"/>
  <c r="F5" i="4" s="1"/>
  <c r="G5" i="4" s="1"/>
  <c r="E8" i="3"/>
  <c r="E7" i="3"/>
  <c r="F7" i="3" s="1"/>
  <c r="G7" i="3" s="1"/>
  <c r="E5" i="3"/>
  <c r="E8" i="2"/>
  <c r="E7" i="2"/>
  <c r="F7" i="2" s="1"/>
  <c r="G7" i="2" s="1"/>
  <c r="E5" i="2"/>
  <c r="E4" i="2"/>
  <c r="F4" i="2" s="1"/>
  <c r="G4" i="2" s="1"/>
  <c r="L3" i="2" s="1"/>
  <c r="E18" i="3"/>
  <c r="E28" i="2"/>
  <c r="E29" i="5"/>
  <c r="F29" i="5" s="1"/>
  <c r="E10" i="5"/>
  <c r="F10" i="5" s="1"/>
  <c r="G10" i="5" s="1"/>
  <c r="E10" i="4"/>
  <c r="F10" i="4" s="1"/>
  <c r="G10" i="4" s="1"/>
  <c r="E7" i="4"/>
  <c r="F7" i="4" s="1"/>
  <c r="G7" i="4" s="1"/>
  <c r="E10" i="3"/>
  <c r="E19" i="5"/>
  <c r="F19" i="5" s="1"/>
  <c r="E30" i="5"/>
  <c r="F30" i="5" s="1"/>
  <c r="E9" i="4"/>
  <c r="E9" i="3"/>
  <c r="E41" i="3"/>
  <c r="E17" i="3"/>
  <c r="E20" i="3"/>
  <c r="F20" i="3" s="1"/>
  <c r="E9" i="5"/>
  <c r="E8" i="5"/>
  <c r="F8" i="5" s="1"/>
  <c r="G8" i="5" s="1"/>
  <c r="E10" i="2"/>
  <c r="E27" i="2"/>
  <c r="F27" i="2" s="1"/>
  <c r="E12" i="3"/>
  <c r="E14" i="3"/>
  <c r="E16" i="3"/>
  <c r="E15" i="2"/>
  <c r="F15" i="2" s="1"/>
  <c r="E9" i="2"/>
  <c r="E42" i="4"/>
  <c r="E33" i="4"/>
  <c r="F33" i="4" s="1"/>
  <c r="E43" i="5"/>
  <c r="E39" i="5"/>
  <c r="E36" i="5"/>
  <c r="F36" i="5" s="1"/>
  <c r="E35" i="5"/>
  <c r="F35" i="5" s="1"/>
  <c r="E34" i="5"/>
  <c r="F34" i="5" s="1"/>
  <c r="E43" i="3"/>
  <c r="E39" i="3"/>
  <c r="E36" i="3"/>
  <c r="E35" i="3"/>
  <c r="E43" i="2"/>
  <c r="E42" i="2"/>
  <c r="F42" i="2" s="1"/>
  <c r="E39" i="2"/>
  <c r="E37" i="2"/>
  <c r="E36" i="2"/>
  <c r="E35" i="2"/>
  <c r="F35" i="2" s="1"/>
  <c r="E43" i="4"/>
  <c r="E36" i="4"/>
  <c r="E39" i="4"/>
  <c r="F39" i="4" s="1"/>
  <c r="E37" i="4"/>
  <c r="E6" i="2"/>
  <c r="E6" i="3"/>
  <c r="E5" i="5"/>
  <c r="F5" i="5" s="1"/>
  <c r="G5" i="5" s="1"/>
  <c r="E6" i="5"/>
  <c r="E24" i="2"/>
  <c r="F24" i="2" s="1"/>
  <c r="E16" i="5"/>
  <c r="F16" i="5" s="1"/>
  <c r="E21" i="2"/>
  <c r="F21" i="2" s="1"/>
  <c r="E11" i="5"/>
  <c r="E4" i="4"/>
  <c r="F4" i="4" s="1"/>
  <c r="G4" i="4" s="1"/>
  <c r="L3" i="4" s="1"/>
  <c r="E11" i="3"/>
  <c r="E11" i="2"/>
  <c r="E6" i="4"/>
  <c r="E12" i="2"/>
  <c r="F12" i="2" s="1"/>
  <c r="E11" i="4"/>
  <c r="E4" i="3"/>
  <c r="F4" i="3" s="1"/>
  <c r="G4" i="3" s="1"/>
  <c r="F68" i="5"/>
  <c r="F67" i="5"/>
  <c r="F66" i="5"/>
  <c r="F65" i="5"/>
  <c r="F64" i="5"/>
  <c r="F63" i="5"/>
  <c r="F62" i="5"/>
  <c r="F61" i="5"/>
  <c r="D43" i="5"/>
  <c r="D42" i="5"/>
  <c r="D41" i="5"/>
  <c r="D40" i="5"/>
  <c r="D39" i="5"/>
  <c r="D38" i="5"/>
  <c r="D37" i="5"/>
  <c r="F33" i="5"/>
  <c r="F27" i="5"/>
  <c r="F26" i="5"/>
  <c r="E24" i="5"/>
  <c r="F24" i="5" s="1"/>
  <c r="E23" i="5"/>
  <c r="F23" i="5" s="1"/>
  <c r="E22" i="5"/>
  <c r="F22" i="5" s="1"/>
  <c r="D20" i="5"/>
  <c r="F15" i="5"/>
  <c r="F13" i="5"/>
  <c r="D12" i="5"/>
  <c r="D11" i="5"/>
  <c r="D10" i="5"/>
  <c r="D9" i="5"/>
  <c r="D8" i="5"/>
  <c r="D7" i="5"/>
  <c r="D6" i="5"/>
  <c r="D5" i="5"/>
  <c r="D4" i="5"/>
  <c r="F68" i="4"/>
  <c r="F67" i="4"/>
  <c r="F66" i="4"/>
  <c r="F65" i="4"/>
  <c r="F64" i="4"/>
  <c r="F63" i="4"/>
  <c r="F62" i="4"/>
  <c r="F61" i="4"/>
  <c r="D43" i="4"/>
  <c r="D42" i="4"/>
  <c r="D41" i="4"/>
  <c r="D40" i="4"/>
  <c r="D39" i="4"/>
  <c r="D38" i="4"/>
  <c r="D37" i="4"/>
  <c r="E24" i="4"/>
  <c r="F24" i="4" s="1"/>
  <c r="E23" i="4"/>
  <c r="F23" i="4" s="1"/>
  <c r="E22" i="4"/>
  <c r="F22" i="4" s="1"/>
  <c r="D20" i="4"/>
  <c r="D12" i="4"/>
  <c r="D11" i="4"/>
  <c r="D10" i="4"/>
  <c r="D9" i="4"/>
  <c r="D8" i="4"/>
  <c r="D7" i="4"/>
  <c r="D6" i="4"/>
  <c r="D5" i="4"/>
  <c r="D4" i="4"/>
  <c r="F68" i="3"/>
  <c r="F67" i="3"/>
  <c r="F66" i="3"/>
  <c r="F65" i="3"/>
  <c r="F64" i="3"/>
  <c r="F63" i="3"/>
  <c r="F62" i="3"/>
  <c r="F61" i="3"/>
  <c r="D43" i="3"/>
  <c r="D42" i="3"/>
  <c r="D41" i="3"/>
  <c r="D40" i="3"/>
  <c r="D39" i="3"/>
  <c r="D38" i="3"/>
  <c r="D37" i="3"/>
  <c r="E24" i="3"/>
  <c r="F24" i="3" s="1"/>
  <c r="E23" i="3"/>
  <c r="F23" i="3" s="1"/>
  <c r="E22" i="3"/>
  <c r="F22" i="3" s="1"/>
  <c r="D20" i="3"/>
  <c r="D12" i="3"/>
  <c r="D11" i="3"/>
  <c r="D10" i="3"/>
  <c r="D9" i="3"/>
  <c r="D8" i="3"/>
  <c r="D7" i="3"/>
  <c r="D6" i="3"/>
  <c r="D5" i="3"/>
  <c r="D4" i="3"/>
  <c r="F68" i="2"/>
  <c r="F67" i="2"/>
  <c r="F66" i="2"/>
  <c r="F65" i="2"/>
  <c r="F64" i="2"/>
  <c r="F63" i="2"/>
  <c r="F62" i="2"/>
  <c r="F61" i="2"/>
  <c r="D43" i="2"/>
  <c r="D42" i="2"/>
  <c r="D41" i="2"/>
  <c r="D40" i="2"/>
  <c r="D39" i="2"/>
  <c r="D38" i="2"/>
  <c r="D37" i="2"/>
  <c r="D20" i="2"/>
  <c r="D11" i="2"/>
  <c r="D10" i="2"/>
  <c r="D9" i="2"/>
  <c r="D8" i="2"/>
  <c r="D7" i="2"/>
  <c r="D6" i="2"/>
  <c r="D5" i="2"/>
  <c r="D4" i="2"/>
  <c r="E12" i="5"/>
  <c r="F12" i="5" s="1"/>
  <c r="E37" i="5" l="1"/>
  <c r="E40" i="4"/>
  <c r="E38" i="2"/>
  <c r="E40" i="5"/>
  <c r="E38" i="4"/>
  <c r="F38" i="4" s="1"/>
  <c r="E42" i="3"/>
  <c r="F42" i="3" s="1"/>
  <c r="E41" i="5"/>
  <c r="F41" i="5" s="1"/>
  <c r="E15" i="3"/>
  <c r="F15" i="3" s="1"/>
  <c r="E41" i="2"/>
  <c r="F41" i="2" s="1"/>
  <c r="E37" i="3"/>
  <c r="F37" i="3" s="1"/>
  <c r="E19" i="3"/>
  <c r="E26" i="2"/>
  <c r="F26" i="2" s="1"/>
  <c r="E40" i="2"/>
  <c r="F40" i="2" s="1"/>
  <c r="E38" i="3"/>
  <c r="F38" i="3" s="1"/>
  <c r="E34" i="2"/>
  <c r="F34" i="2" s="1"/>
  <c r="E40" i="3"/>
  <c r="F40" i="3" s="1"/>
  <c r="E38" i="5"/>
  <c r="F38" i="5" s="1"/>
  <c r="E34" i="4"/>
  <c r="F34" i="4" s="1"/>
  <c r="E33" i="3"/>
  <c r="F33" i="3" s="1"/>
  <c r="E18" i="2"/>
  <c r="F18" i="2" s="1"/>
  <c r="E13" i="2"/>
  <c r="F13" i="2" s="1"/>
  <c r="E13" i="3"/>
  <c r="F13" i="3" s="1"/>
  <c r="E20" i="5"/>
  <c r="F20" i="5" s="1"/>
  <c r="E30" i="4"/>
  <c r="F30" i="4" s="1"/>
  <c r="E26" i="4"/>
  <c r="F26" i="4" s="1"/>
  <c r="E27" i="4"/>
  <c r="F27" i="4" s="1"/>
  <c r="E20" i="4"/>
  <c r="F20" i="4" s="1"/>
  <c r="F34" i="3"/>
  <c r="E17" i="4"/>
  <c r="F17" i="4" s="1"/>
  <c r="E28" i="3"/>
  <c r="F28" i="3" s="1"/>
  <c r="E16" i="4"/>
  <c r="F16" i="4" s="1"/>
  <c r="E31" i="2"/>
  <c r="F31" i="2" s="1"/>
  <c r="E31" i="3"/>
  <c r="F31" i="3" s="1"/>
  <c r="F28" i="2"/>
  <c r="E17" i="2"/>
  <c r="F17" i="2" s="1"/>
  <c r="F17" i="3"/>
  <c r="F37" i="5"/>
  <c r="F37" i="4"/>
  <c r="E27" i="3"/>
  <c r="F27" i="3" s="1"/>
  <c r="F42" i="4"/>
  <c r="E26" i="3"/>
  <c r="F26" i="3" s="1"/>
  <c r="F9" i="3"/>
  <c r="G9" i="3" s="1"/>
  <c r="F9" i="2"/>
  <c r="G9" i="2" s="1"/>
  <c r="F7" i="5"/>
  <c r="G7" i="5" s="1"/>
  <c r="F11" i="2"/>
  <c r="G11" i="2" s="1"/>
  <c r="F5" i="3"/>
  <c r="G5" i="3" s="1"/>
  <c r="F5" i="2"/>
  <c r="G5" i="2" s="1"/>
  <c r="F6" i="3"/>
  <c r="G6" i="3" s="1"/>
  <c r="F4" i="5"/>
  <c r="G4" i="5" s="1"/>
  <c r="L3" i="5" s="1"/>
  <c r="F11" i="4"/>
  <c r="G11" i="4" s="1"/>
  <c r="F6" i="2"/>
  <c r="G6" i="2" s="1"/>
  <c r="G26" i="5"/>
  <c r="F8" i="3"/>
  <c r="G8" i="3" s="1"/>
  <c r="F6" i="4"/>
  <c r="G6" i="4" s="1"/>
  <c r="F9" i="5"/>
  <c r="G9" i="5" s="1"/>
  <c r="F11" i="5"/>
  <c r="G11" i="5" s="1"/>
  <c r="F10" i="3"/>
  <c r="G10" i="3" s="1"/>
  <c r="F8" i="4"/>
  <c r="G8" i="4" s="1"/>
  <c r="F8" i="2"/>
  <c r="G8" i="2" s="1"/>
  <c r="F10" i="2"/>
  <c r="G10" i="2" s="1"/>
  <c r="F11" i="3"/>
  <c r="G11" i="3" s="1"/>
  <c r="F9" i="4"/>
  <c r="G9" i="4" s="1"/>
  <c r="F6" i="5"/>
  <c r="G6" i="5" s="1"/>
  <c r="G34" i="5"/>
  <c r="E25" i="2"/>
  <c r="F25" i="2" s="1"/>
  <c r="G22" i="2" s="1"/>
  <c r="E32" i="2"/>
  <c r="F32" i="2" s="1"/>
  <c r="F38" i="2"/>
  <c r="F43" i="2"/>
  <c r="G43" i="2" s="1"/>
  <c r="F14" i="3"/>
  <c r="F18" i="3"/>
  <c r="E21" i="3"/>
  <c r="F21" i="3" s="1"/>
  <c r="G20" i="3" s="1"/>
  <c r="L6" i="3" s="1"/>
  <c r="F35" i="3"/>
  <c r="E31" i="4"/>
  <c r="F31" i="4" s="1"/>
  <c r="F40" i="4"/>
  <c r="E17" i="5"/>
  <c r="F17" i="5" s="1"/>
  <c r="F42" i="5"/>
  <c r="E19" i="2"/>
  <c r="F19" i="2" s="1"/>
  <c r="E29" i="2"/>
  <c r="F29" i="2" s="1"/>
  <c r="F36" i="2"/>
  <c r="E25" i="3"/>
  <c r="F25" i="3" s="1"/>
  <c r="G22" i="3" s="1"/>
  <c r="E32" i="3"/>
  <c r="F32" i="3" s="1"/>
  <c r="F43" i="3"/>
  <c r="G43" i="3" s="1"/>
  <c r="E14" i="4"/>
  <c r="F14" i="4" s="1"/>
  <c r="E18" i="4"/>
  <c r="F18" i="4" s="1"/>
  <c r="E21" i="4"/>
  <c r="F21" i="4" s="1"/>
  <c r="E28" i="4"/>
  <c r="F28" i="4" s="1"/>
  <c r="E35" i="4"/>
  <c r="F35" i="4" s="1"/>
  <c r="E31" i="5"/>
  <c r="F31" i="5" s="1"/>
  <c r="F40" i="5"/>
  <c r="E14" i="2"/>
  <c r="F14" i="2" s="1"/>
  <c r="F19" i="3"/>
  <c r="E29" i="3"/>
  <c r="F29" i="3" s="1"/>
  <c r="F36" i="3"/>
  <c r="E25" i="4"/>
  <c r="F25" i="4" s="1"/>
  <c r="G22" i="4" s="1"/>
  <c r="E32" i="4"/>
  <c r="F32" i="4" s="1"/>
  <c r="F43" i="4"/>
  <c r="G43" i="4" s="1"/>
  <c r="E14" i="5"/>
  <c r="F14" i="5" s="1"/>
  <c r="E18" i="5"/>
  <c r="F18" i="5" s="1"/>
  <c r="E21" i="5"/>
  <c r="F21" i="5" s="1"/>
  <c r="E16" i="2"/>
  <c r="F16" i="2" s="1"/>
  <c r="E30" i="2"/>
  <c r="F30" i="2" s="1"/>
  <c r="F39" i="2"/>
  <c r="F12" i="3"/>
  <c r="F41" i="3"/>
  <c r="E19" i="4"/>
  <c r="F19" i="4" s="1"/>
  <c r="E29" i="4"/>
  <c r="F29" i="4" s="1"/>
  <c r="F36" i="4"/>
  <c r="E25" i="5"/>
  <c r="F25" i="5" s="1"/>
  <c r="G22" i="5" s="1"/>
  <c r="E32" i="5"/>
  <c r="F32" i="5" s="1"/>
  <c r="F43" i="5"/>
  <c r="G43" i="5" s="1"/>
  <c r="E20" i="2"/>
  <c r="F20" i="2" s="1"/>
  <c r="G20" i="2" s="1"/>
  <c r="L6" i="2" s="1"/>
  <c r="F37" i="2"/>
  <c r="F16" i="3"/>
  <c r="E30" i="3"/>
  <c r="F30" i="3" s="1"/>
  <c r="F39" i="3"/>
  <c r="E12" i="4"/>
  <c r="F12" i="4" s="1"/>
  <c r="E41" i="4"/>
  <c r="F41" i="4" s="1"/>
  <c r="F39" i="5"/>
  <c r="G40" i="2" l="1"/>
  <c r="G20" i="5"/>
  <c r="L6" i="5" s="1"/>
  <c r="G20" i="4"/>
  <c r="L6" i="4" s="1"/>
  <c r="G26" i="2"/>
  <c r="G37" i="4"/>
  <c r="G37" i="5"/>
  <c r="L4" i="3"/>
  <c r="G26" i="3"/>
  <c r="G26" i="4"/>
  <c r="L4" i="5"/>
  <c r="L3" i="3"/>
  <c r="G34" i="3"/>
  <c r="G12" i="2"/>
  <c r="M4" i="2" s="1"/>
  <c r="G12" i="5"/>
  <c r="M4" i="5" s="1"/>
  <c r="G12" i="3"/>
  <c r="M4" i="3" s="1"/>
  <c r="G30" i="4"/>
  <c r="L4" i="2"/>
  <c r="G34" i="4"/>
  <c r="G40" i="5"/>
  <c r="L5" i="5"/>
  <c r="G40" i="4"/>
  <c r="L5" i="4"/>
  <c r="G37" i="3"/>
  <c r="L5" i="3"/>
  <c r="G37" i="2"/>
  <c r="L5" i="2"/>
  <c r="G34" i="2"/>
  <c r="G12" i="4"/>
  <c r="M4" i="4" s="1"/>
  <c r="G30" i="2"/>
  <c r="G30" i="5"/>
  <c r="L4" i="4"/>
  <c r="G30" i="3"/>
  <c r="G40" i="3"/>
  <c r="J7" i="5" l="1"/>
  <c r="J8" i="5" s="1"/>
  <c r="J9" i="5" s="1"/>
  <c r="J7" i="3"/>
  <c r="J8" i="3" s="1"/>
  <c r="J9" i="3" s="1"/>
  <c r="J7" i="4"/>
  <c r="J8" i="4" s="1"/>
  <c r="J9" i="4" s="1"/>
  <c r="J7" i="2"/>
  <c r="J8" i="2" s="1"/>
  <c r="J9" i="2" s="1"/>
</calcChain>
</file>

<file path=xl/sharedStrings.xml><?xml version="1.0" encoding="utf-8"?>
<sst xmlns="http://schemas.openxmlformats.org/spreadsheetml/2006/main" count="857" uniqueCount="211">
  <si>
    <t>*Rollo x 10mts. Tejido romb. x 2,00 mt*</t>
  </si>
  <si>
    <t>*CALIDAD ECONOMICA*</t>
  </si>
  <si>
    <t>-Cal 14 c/rombos de 3 ½''</t>
  </si>
  <si>
    <t>*CALIDAD STANDARD*</t>
  </si>
  <si>
    <t>-Cal 14 c/rombos de 2 ½"</t>
  </si>
  <si>
    <t>-Cal 12 c/rombos de 3 ½''</t>
  </si>
  <si>
    <t>*CALIDAD REFORZADA*</t>
  </si>
  <si>
    <t>-Cal 12 c/rombos de 2 ½"</t>
  </si>
  <si>
    <t>La resistencia del rollo está sujeta al calibre del alambre y el tamaño del rombo</t>
  </si>
  <si>
    <t>*Rollo x 10mts. Tejido romb. x 1,80 mt*</t>
  </si>
  <si>
    <t>*Rollo x 10mts. Tejido romb. x 1,50 mt*</t>
  </si>
  <si>
    <t>*Rollo x 10mts. Tejido romb. x 1,20 mt*</t>
  </si>
  <si>
    <t>*Rollo x 10mts. Tejido romb. x 1,00 mt*</t>
  </si>
  <si>
    <t>El rollo por 10mts. de alambre tejido romboidal de 2,00mts. de altura tiene un valor de:</t>
  </si>
  <si>
    <t>El rollo por 10mts. de alambre tejido romboidal de 1,80mts. de altura tiene un valor de:</t>
  </si>
  <si>
    <t>El rollo por 10mts. de alambre tejido romboidal de 1,50mts. de altura tiene un valor de:</t>
  </si>
  <si>
    <t>El rollo por 10mts. de alambre tejido romboidal de 1,20mts. de altura tiene un valor de:</t>
  </si>
  <si>
    <t>El rollo por 10mts. de alambre tejido romboidal de 1,00mts. de altura tiene un valor de:</t>
  </si>
  <si>
    <t>Postes de Hormigón 3,50 mts. de altura con ménsula (P/ alambrado de 2,00mts.)</t>
  </si>
  <si>
    <t>-Postes Intermedios</t>
  </si>
  <si>
    <t>Postes de Hormigón 3,05 mts. de altura con ménsula (P/ alambrado de 1,80mts. y 2 mts)</t>
  </si>
  <si>
    <t>Postes de Hormigón 2,50 mts. de altura con ménsula (P/ alambrado de 1,80mts. y 2 mts)</t>
  </si>
  <si>
    <t>Postes de Hormigón 2,50 mts. de altura con ménsula (P/ alambrado de 1,50/1,80mts.)</t>
  </si>
  <si>
    <t>Postes de Hormigón 3,05 mts. de altura con punta de diamante (P/ alambrado de 1.8/2mts.)</t>
  </si>
  <si>
    <t>Postes de Hormigón 2,40 mts. de altura con punta de diamante (P/ alambrado de 1,50mts.)</t>
  </si>
  <si>
    <t>Postes de Hormigón 2,00 mts. de altura con punta de diamante (P/ alambrado de 1,00/1,20mts.)</t>
  </si>
  <si>
    <t>Postes de Madera de Eucalipto 3,50 mts. de altura (P/ alambrado de 2,00mts.)</t>
  </si>
  <si>
    <t>Postes de Madera de Eucalipto 3,00 mts. de altura (P/ alambrado de 1,80mts.)</t>
  </si>
  <si>
    <t>Postes de Madera de Eucalipto 2,50 mts. de altura (P/ alambrado de 1,50mts.)</t>
  </si>
  <si>
    <t>Postes de Madera de Eucalipto 2,00 mts. de altura (P/ alambrado de 1,00/1,20mts.)</t>
  </si>
  <si>
    <t>Accesorios</t>
  </si>
  <si>
    <t>Gancho Galv. c/ Arand. y Tuerca 3/8'' x 10''</t>
  </si>
  <si>
    <t>Gancho Galv. c/ Arand. y Tuerca 3/8'' x 8''</t>
  </si>
  <si>
    <t>Gancho Galv. c/ Arand. y Tuerca 3/8'' x 7"</t>
  </si>
  <si>
    <t>Alambre de Púas x rollo de 100mts</t>
  </si>
  <si>
    <t>Alambre de Púas x rollo de 500mts</t>
  </si>
  <si>
    <t>Alambre Negro 14</t>
  </si>
  <si>
    <t>Alambre Negro 16</t>
  </si>
  <si>
    <t>Clavos punta paris 2 1/2"</t>
  </si>
  <si>
    <t>Arena</t>
  </si>
  <si>
    <t>Ripio</t>
  </si>
  <si>
    <t>Cemento, bolsa 50 kg</t>
  </si>
  <si>
    <t>Travillas Cebil 1.4mt x 12 un</t>
  </si>
  <si>
    <t>Mano de obra x mt s/cordon</t>
  </si>
  <si>
    <t>Mano de obra x mt c/cordon</t>
  </si>
  <si>
    <t>Transporte x 7 Postes</t>
  </si>
  <si>
    <t>Alambre galvanizado Calibre 20</t>
  </si>
  <si>
    <t>Hierro liso 8 mm</t>
  </si>
  <si>
    <t>Hierro Torsionado 8 mm</t>
  </si>
  <si>
    <t>Transporte por mt lineal</t>
  </si>
  <si>
    <t>Mallas</t>
  </si>
  <si>
    <t>Fletes</t>
  </si>
  <si>
    <t>Cantidad de kilometros de Ida y Vuelta</t>
  </si>
  <si>
    <t>Km x Litro</t>
  </si>
  <si>
    <t>Precio del Diesel Premium</t>
  </si>
  <si>
    <t>Precio total del Flete + $100</t>
  </si>
  <si>
    <t>DIMENSION</t>
  </si>
  <si>
    <t>60x30</t>
  </si>
  <si>
    <t>MTL</t>
  </si>
  <si>
    <t>Presupuesto</t>
  </si>
  <si>
    <t>Calculos Auxiliares</t>
  </si>
  <si>
    <t>Grupo</t>
  </si>
  <si>
    <t>Un. Medida</t>
  </si>
  <si>
    <t>Cantidad</t>
  </si>
  <si>
    <t>Precio x Unidad</t>
  </si>
  <si>
    <t>Sub Total</t>
  </si>
  <si>
    <t>TOTAL</t>
  </si>
  <si>
    <t>Tipo Tejido</t>
  </si>
  <si>
    <t>Rollo C14x 2mt x 3 1/2"</t>
  </si>
  <si>
    <t>Instalacion</t>
  </si>
  <si>
    <t>TEJIDO</t>
  </si>
  <si>
    <t>un</t>
  </si>
  <si>
    <t>Tipo Poste</t>
  </si>
  <si>
    <t>POSTES P DIAMANTE</t>
  </si>
  <si>
    <t>Rollo C14x 2mt x 3"</t>
  </si>
  <si>
    <t>Tipo Cordon</t>
  </si>
  <si>
    <t>CORDON 20 CM</t>
  </si>
  <si>
    <t>Rollo C14x 2mt x 2 1/2"</t>
  </si>
  <si>
    <t>Hilos de Pua</t>
  </si>
  <si>
    <t>Rollo C14x 2mt x 2"</t>
  </si>
  <si>
    <t>Total</t>
  </si>
  <si>
    <t>Rollo C12x 2mt x 3 1/2"</t>
  </si>
  <si>
    <t>Precio x mtl</t>
  </si>
  <si>
    <t>Rollo C12x 2mt x 3"</t>
  </si>
  <si>
    <t>Rollo C12x 2mt x 2 1/2"</t>
  </si>
  <si>
    <t>Rollo C12x 2mt x 2"</t>
  </si>
  <si>
    <t>ACCESORIOS</t>
  </si>
  <si>
    <t>Ganchos c/tuerca y arandela x 8"</t>
  </si>
  <si>
    <t>Planchuela de 2mt</t>
  </si>
  <si>
    <t>Torniquete mini cincado</t>
  </si>
  <si>
    <t>Esparragos</t>
  </si>
  <si>
    <t>Alambre de Alta Resistencia (4 hilos)</t>
  </si>
  <si>
    <t>mt</t>
  </si>
  <si>
    <t>Clavos</t>
  </si>
  <si>
    <t>kg</t>
  </si>
  <si>
    <t>Alambre negro</t>
  </si>
  <si>
    <t>Transporte</t>
  </si>
  <si>
    <t>PUA</t>
  </si>
  <si>
    <t>Alambre de puas (1 hilo)</t>
  </si>
  <si>
    <t>POSTES OLIMP</t>
  </si>
  <si>
    <t>Postes Esquineros 3.05mt</t>
  </si>
  <si>
    <t>Postes Refuerzos 3.05mt</t>
  </si>
  <si>
    <t>Postes Intermedios 3.05mt</t>
  </si>
  <si>
    <t>Puntales 2.40mt</t>
  </si>
  <si>
    <t>Postes Esquineros 2.8mt</t>
  </si>
  <si>
    <t>Postes Intermedios 2.8mt</t>
  </si>
  <si>
    <t>POSTE EUCALIPTO</t>
  </si>
  <si>
    <t>m3</t>
  </si>
  <si>
    <t>Cemento</t>
  </si>
  <si>
    <t>50 kg</t>
  </si>
  <si>
    <t>CORDON 15 CM</t>
  </si>
  <si>
    <t>CORDON 10 CM</t>
  </si>
  <si>
    <t>MANO DE OBRA</t>
  </si>
  <si>
    <t>Mano de Obra</t>
  </si>
  <si>
    <t>ALAMBRADOS DE 2,00 MTS -CALIBRE 14 CON ROMBOS DE 3 1/2"</t>
  </si>
  <si>
    <t>POSTES DE HORMIGÓN</t>
  </si>
  <si>
    <t>OPCIÓN 1</t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</si>
  <si>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cordón de hormigón de 20 cm</t>
    </r>
    <r>
      <rPr>
        <sz val="11"/>
        <color theme="1"/>
        <rFont val="Calibri"/>
        <family val="2"/>
      </rPr>
      <t xml:space="preserve"> - Con postes de hormigón </t>
    </r>
    <r>
      <rPr>
        <b/>
        <sz val="12"/>
        <color theme="1"/>
        <rFont val="Calibri"/>
        <family val="2"/>
      </rPr>
      <t>con ménsula</t>
    </r>
    <r>
      <rPr>
        <sz val="12"/>
        <color theme="1"/>
        <rFont val="Calibri"/>
        <family val="2"/>
      </rPr>
      <t xml:space="preserve"> cada 4,28 mts aprox. </t>
    </r>
  </si>
  <si>
    <t>PRECIO ML.</t>
  </si>
  <si>
    <t>OPCIÓN 2</t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</si>
  <si>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 xml:space="preserve">- Con postes </t>
    </r>
    <r>
      <rPr>
        <b/>
        <sz val="12"/>
        <color theme="1"/>
        <rFont val="Calibri"/>
        <family val="2"/>
      </rPr>
      <t>punta de diamante</t>
    </r>
    <r>
      <rPr>
        <sz val="12"/>
        <color theme="1"/>
        <rFont val="Calibri"/>
        <family val="2"/>
      </rPr>
      <t xml:space="preserve"> cada 4,28 mts aprox.</t>
    </r>
  </si>
  <si>
    <t>OPCIÓN 3</t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</si>
  <si>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4,28 mts aprox.</t>
    </r>
  </si>
  <si>
    <t>OPCIÓN 4</t>
  </si>
  <si>
    <r>
      <rPr>
        <b/>
        <sz val="11"/>
        <color theme="1"/>
        <rFont val="Calibri"/>
        <family val="2"/>
      </rPr>
      <t>Opcion economica.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Alambrado de 2,00  mt de alto con </t>
    </r>
    <r>
      <rPr>
        <b/>
        <sz val="12"/>
        <color theme="1"/>
        <rFont val="Calibri"/>
        <family val="2"/>
      </rPr>
      <t>cordon de hormigon 10 cm</t>
    </r>
    <r>
      <rPr>
        <sz val="12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5 mts aprox</t>
    </r>
  </si>
  <si>
    <t>POSTES DE MADERA EUCALIPTO</t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</si>
  <si>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cordon de hormigon de 20 cm</t>
    </r>
    <r>
      <rPr>
        <sz val="11"/>
        <color theme="1"/>
        <rFont val="Calibri"/>
        <family val="2"/>
      </rPr>
      <t xml:space="preserve"> 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</si>
  <si>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</si>
  <si>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postes de eucaliptos cada 4,28 mts aprox.</t>
    </r>
  </si>
  <si>
    <r>
      <rPr>
        <b/>
        <sz val="11"/>
        <color theme="1"/>
        <rFont val="Calibri"/>
        <family val="2"/>
      </rPr>
      <t>Opcion económica.</t>
    </r>
    <r>
      <rPr>
        <sz val="11"/>
        <color theme="1"/>
        <rFont val="Calibri"/>
        <family val="2"/>
      </rPr>
      <t xml:space="preserve"> 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5 mts aprox</t>
    </r>
  </si>
  <si>
    <t>Rollo C14x 1.8mt x 2 1/2"</t>
  </si>
  <si>
    <t>Rollo C14x 1.8mt x 3 1/2"</t>
  </si>
  <si>
    <t>Rollo C14x 1.8mt x 3"</t>
  </si>
  <si>
    <t>Rollo C14x 1.8mt x 2"</t>
  </si>
  <si>
    <t>Rollo C12x 1.8mt x 3 1/2"</t>
  </si>
  <si>
    <t>Rollo C12x 1.8mt x 3"</t>
  </si>
  <si>
    <t>Rollo C12x 1.8mt x 2 1/2"</t>
  </si>
  <si>
    <t>Rollo C12x 1.8mt x 2"</t>
  </si>
  <si>
    <t>Alambre de Alta Resistencia (3 hilos)</t>
  </si>
  <si>
    <t>Postes Refuerzos 2.8mt</t>
  </si>
  <si>
    <t>Postes Refuerzos 2,8 mt</t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</si>
  <si>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cordón de hormigón de 20 cm</t>
    </r>
    <r>
      <rPr>
        <sz val="11"/>
        <color theme="1"/>
        <rFont val="Calibri"/>
        <family val="2"/>
      </rPr>
      <t xml:space="preserve"> - Con postes de hormigón </t>
    </r>
    <r>
      <rPr>
        <b/>
        <sz val="12"/>
        <color theme="1"/>
        <rFont val="Calibri"/>
        <family val="2"/>
      </rPr>
      <t>con ménsula</t>
    </r>
    <r>
      <rPr>
        <sz val="12"/>
        <color theme="1"/>
        <rFont val="Calibri"/>
        <family val="2"/>
      </rPr>
      <t xml:space="preserve"> cada 4,28 mts aprox. 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</si>
  <si>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 xml:space="preserve">- Con postes </t>
    </r>
    <r>
      <rPr>
        <b/>
        <sz val="12"/>
        <color theme="1"/>
        <rFont val="Calibri"/>
        <family val="2"/>
      </rPr>
      <t>punta de diamante</t>
    </r>
    <r>
      <rPr>
        <sz val="12"/>
        <color theme="1"/>
        <rFont val="Calibri"/>
        <family val="2"/>
      </rPr>
      <t xml:space="preserve">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</si>
  <si>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4,28 mts aprox.</t>
    </r>
  </si>
  <si>
    <r>
      <rPr>
        <b/>
        <sz val="11"/>
        <color theme="1"/>
        <rFont val="Calibri"/>
        <family val="2"/>
      </rPr>
      <t>Opcion economica.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Alambrado de 2,00  mt de alto con </t>
    </r>
    <r>
      <rPr>
        <b/>
        <sz val="12"/>
        <color theme="1"/>
        <rFont val="Calibri"/>
        <family val="2"/>
      </rPr>
      <t>cordon de hormigon 10 cm</t>
    </r>
    <r>
      <rPr>
        <sz val="12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5 mts aprox</t>
    </r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</si>
  <si>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cordon de hormigon de 20 cm</t>
    </r>
    <r>
      <rPr>
        <sz val="11"/>
        <color theme="1"/>
        <rFont val="Calibri"/>
        <family val="2"/>
      </rPr>
      <t xml:space="preserve"> 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</si>
  <si>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</si>
  <si>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postes de eucaliptos cada 4,28 mts aprox.</t>
    </r>
  </si>
  <si>
    <r>
      <rPr>
        <b/>
        <sz val="11"/>
        <color theme="1"/>
        <rFont val="Calibri"/>
        <family val="2"/>
      </rPr>
      <t>Opcion económica.</t>
    </r>
    <r>
      <rPr>
        <sz val="11"/>
        <color theme="1"/>
        <rFont val="Calibri"/>
        <family val="2"/>
      </rPr>
      <t xml:space="preserve"> 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5 mts aprox</t>
    </r>
  </si>
  <si>
    <t>Rollo C14x 1.5mt x 3 1/2"</t>
  </si>
  <si>
    <t>Rollo C14x 1.5mt x 3"</t>
  </si>
  <si>
    <t>Rollo C14x 1.5mt x 2 1/2"</t>
  </si>
  <si>
    <t>Rollo C14x 1.5mt x 2"</t>
  </si>
  <si>
    <t>Rollo C12x 1.5mt x 3 1/2"</t>
  </si>
  <si>
    <t>Rollo C12x 1.5mt x 3"</t>
  </si>
  <si>
    <t>Rollo C12x 1.5mt x 2 1/2"</t>
  </si>
  <si>
    <t>Rollo C12x 1.5mt x 2"</t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</si>
  <si>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cordón de hormigón de 20 cm</t>
    </r>
    <r>
      <rPr>
        <sz val="11"/>
        <color theme="1"/>
        <rFont val="Calibri"/>
        <family val="2"/>
      </rPr>
      <t xml:space="preserve"> - Con postes de hormigón </t>
    </r>
    <r>
      <rPr>
        <b/>
        <sz val="12"/>
        <color theme="1"/>
        <rFont val="Calibri"/>
        <family val="2"/>
      </rPr>
      <t>con ménsula</t>
    </r>
    <r>
      <rPr>
        <sz val="12"/>
        <color theme="1"/>
        <rFont val="Calibri"/>
        <family val="2"/>
      </rPr>
      <t xml:space="preserve"> cada 4,28 mts aprox. 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</si>
  <si>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 xml:space="preserve">- Con postes </t>
    </r>
    <r>
      <rPr>
        <b/>
        <sz val="12"/>
        <color theme="1"/>
        <rFont val="Calibri"/>
        <family val="2"/>
      </rPr>
      <t>punta de diamante</t>
    </r>
    <r>
      <rPr>
        <sz val="12"/>
        <color theme="1"/>
        <rFont val="Calibri"/>
        <family val="2"/>
      </rPr>
      <t xml:space="preserve">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</si>
  <si>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4,28 mts aprox.</t>
    </r>
  </si>
  <si>
    <r>
      <rPr>
        <b/>
        <sz val="11"/>
        <color theme="1"/>
        <rFont val="Calibri"/>
        <family val="2"/>
      </rPr>
      <t>Opcion economica.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Alambrado de 2,00  mt de alto con </t>
    </r>
    <r>
      <rPr>
        <b/>
        <sz val="12"/>
        <color theme="1"/>
        <rFont val="Calibri"/>
        <family val="2"/>
      </rPr>
      <t>cordon de hormigon 10 cm</t>
    </r>
    <r>
      <rPr>
        <sz val="12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5 mts aprox</t>
    </r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</si>
  <si>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cordon de hormigon de 20 cm</t>
    </r>
    <r>
      <rPr>
        <sz val="11"/>
        <color theme="1"/>
        <rFont val="Calibri"/>
        <family val="2"/>
      </rPr>
      <t xml:space="preserve"> 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</si>
  <si>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</si>
  <si>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postes de eucaliptos cada 4,28 mts aprox.</t>
    </r>
  </si>
  <si>
    <r>
      <rPr>
        <b/>
        <sz val="11"/>
        <color theme="1"/>
        <rFont val="Calibri"/>
        <family val="2"/>
      </rPr>
      <t>Opcion económica.</t>
    </r>
    <r>
      <rPr>
        <sz val="11"/>
        <color theme="1"/>
        <rFont val="Calibri"/>
        <family val="2"/>
      </rPr>
      <t xml:space="preserve"> 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5 mts aprox</t>
    </r>
  </si>
  <si>
    <t>Rollo C14x 1.2mt x 3 1/2"</t>
  </si>
  <si>
    <t>Rollo C14x 1.2mt x 3"</t>
  </si>
  <si>
    <t>Rollo C14x 1.2mt x 2 1/2"</t>
  </si>
  <si>
    <t>Rollo C14x 1.2mt x 2"</t>
  </si>
  <si>
    <t>Rollo C12x 1.2mt x 3 1/2"</t>
  </si>
  <si>
    <t>Rollo C12x 1.2mt x 3"</t>
  </si>
  <si>
    <t>Rollo C12x 1.2mt x 2 1/2"</t>
  </si>
  <si>
    <t>Rollo C12x 1.2mt x 2"</t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</si>
  <si>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cordón de hormigón de 20 cm</t>
    </r>
    <r>
      <rPr>
        <sz val="11"/>
        <color theme="1"/>
        <rFont val="Calibri"/>
        <family val="2"/>
      </rPr>
      <t xml:space="preserve"> - Con postes de hormigón </t>
    </r>
    <r>
      <rPr>
        <b/>
        <sz val="12"/>
        <color theme="1"/>
        <rFont val="Calibri"/>
        <family val="2"/>
      </rPr>
      <t>con ménsula</t>
    </r>
    <r>
      <rPr>
        <sz val="12"/>
        <color theme="1"/>
        <rFont val="Calibri"/>
        <family val="2"/>
      </rPr>
      <t xml:space="preserve"> cada 4,28 mts aprox. 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</si>
  <si>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 xml:space="preserve">- Con postes </t>
    </r>
    <r>
      <rPr>
        <b/>
        <sz val="12"/>
        <color theme="1"/>
        <rFont val="Calibri"/>
        <family val="2"/>
      </rPr>
      <t>punta de diamante</t>
    </r>
    <r>
      <rPr>
        <sz val="12"/>
        <color theme="1"/>
        <rFont val="Calibri"/>
        <family val="2"/>
      </rPr>
      <t xml:space="preserve">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</si>
  <si>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4,28 mts aprox.</t>
    </r>
  </si>
  <si>
    <r>
      <rPr>
        <b/>
        <sz val="11"/>
        <color theme="1"/>
        <rFont val="Calibri"/>
        <family val="2"/>
      </rPr>
      <t>Opcion economica.</t>
    </r>
    <r>
      <rPr>
        <sz val="11"/>
        <color theme="1"/>
        <rFont val="Calibri"/>
        <family val="2"/>
      </rPr>
      <t xml:space="preserve"> </t>
    </r>
    <r>
      <rPr>
        <sz val="12"/>
        <color theme="1"/>
        <rFont val="Calibri"/>
        <family val="2"/>
      </rPr>
      <t xml:space="preserve">Alambrado de 2,00  mt de alto con </t>
    </r>
    <r>
      <rPr>
        <b/>
        <sz val="12"/>
        <color theme="1"/>
        <rFont val="Calibri"/>
        <family val="2"/>
      </rPr>
      <t>cordon de hormigon 10 cm</t>
    </r>
    <r>
      <rPr>
        <sz val="12"/>
        <color theme="1"/>
        <rFont val="Calibri"/>
        <family val="2"/>
      </rPr>
      <t xml:space="preserve"> - Con </t>
    </r>
    <r>
      <rPr>
        <b/>
        <sz val="12"/>
        <color theme="1"/>
        <rFont val="Calibri"/>
        <family val="2"/>
      </rPr>
      <t>postes rectos</t>
    </r>
    <r>
      <rPr>
        <sz val="12"/>
        <color theme="1"/>
        <rFont val="Calibri"/>
        <family val="2"/>
      </rPr>
      <t xml:space="preserve"> cada 5 mts aprox</t>
    </r>
  </si>
  <si>
    <r>
      <rPr>
        <sz val="11"/>
        <color theme="1"/>
        <rFont val="Calibri"/>
        <family val="2"/>
      </rPr>
      <t xml:space="preserve">Alambrado de 2 mts de alto con </t>
    </r>
    <r>
      <rPr>
        <b/>
        <sz val="11"/>
        <color theme="1"/>
        <rFont val="Calibri"/>
        <family val="2"/>
      </rPr>
      <t>cordon de hormigon de 20 cm</t>
    </r>
    <r>
      <rPr>
        <sz val="11"/>
        <color theme="1"/>
        <rFont val="Calibri"/>
        <family val="2"/>
      </rPr>
      <t xml:space="preserve"> 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</si>
  <si>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4,28 mts aprox.</t>
    </r>
  </si>
  <si>
    <r>
      <rPr>
        <sz val="11"/>
        <color theme="1"/>
        <rFont val="Calibri"/>
        <family val="2"/>
      </rPr>
      <t xml:space="preserve">Alambrado de 2,00  mt de alto con </t>
    </r>
    <r>
      <rPr>
        <b/>
        <sz val="11"/>
        <color theme="1"/>
        <rFont val="Calibri"/>
        <family val="2"/>
      </rPr>
      <t>cordon de hormigon 20 cm</t>
    </r>
    <r>
      <rPr>
        <sz val="11"/>
        <color theme="1"/>
        <rFont val="Calibri"/>
        <family val="2"/>
      </rPr>
      <t xml:space="preserve"> - Con postes de eucaliptos cada 4,28 mts aprox.</t>
    </r>
  </si>
  <si>
    <r>
      <rPr>
        <b/>
        <sz val="11"/>
        <color theme="1"/>
        <rFont val="Calibri"/>
        <family val="2"/>
      </rPr>
      <t>Opcion económica.</t>
    </r>
    <r>
      <rPr>
        <sz val="11"/>
        <color theme="1"/>
        <rFont val="Calibri"/>
        <family val="2"/>
      </rPr>
      <t xml:space="preserve"> Alambrado de 2,00  mt de alto con </t>
    </r>
    <r>
      <rPr>
        <b/>
        <sz val="11"/>
        <color theme="1"/>
        <rFont val="Calibri"/>
        <family val="2"/>
      </rPr>
      <t xml:space="preserve">cordon de hormigon 10 cm </t>
    </r>
    <r>
      <rPr>
        <sz val="11"/>
        <color theme="1"/>
        <rFont val="Calibri"/>
        <family val="2"/>
      </rPr>
      <t>- Con postes de eucalipto cada 5 mts aprox</t>
    </r>
  </si>
  <si>
    <t>Malla de 4,5 mm - 15x15 Alto 2m Largo 6m</t>
  </si>
  <si>
    <t>Malla de 5,5 mm - 15x15 Alto 2m Largo 6m</t>
  </si>
  <si>
    <t>Malla de 4 mm - 15x15 Alto 2m Largo 6m</t>
  </si>
  <si>
    <t>Malla de 4 mm - 15x25 Alto 2m Largo 6m</t>
  </si>
  <si>
    <t xml:space="preserve">-Cal 14 c/rombos de 3'' </t>
  </si>
  <si>
    <t xml:space="preserve">-Cal 14 c/rombos de 2'' </t>
  </si>
  <si>
    <t xml:space="preserve">-Cal 12 c/rombos de 3'' </t>
  </si>
  <si>
    <t xml:space="preserve">-Cal 12 c/rombos de 2'' </t>
  </si>
  <si>
    <t xml:space="preserve"> </t>
  </si>
  <si>
    <t xml:space="preserve">-Cal 14 c/rombos de 2 ½"   </t>
  </si>
  <si>
    <t xml:space="preserve">-Calibre N°13 con rombos de 3 ½'' </t>
  </si>
  <si>
    <t xml:space="preserve">-Calibre N°13 con rombos de 3''          </t>
  </si>
  <si>
    <t xml:space="preserve">-Calibre N°13 con rombos de 2 ½         </t>
  </si>
  <si>
    <t xml:space="preserve">-Calibre N°13 con rombos de 2''          </t>
  </si>
  <si>
    <t xml:space="preserve">-Postes Esquineros         </t>
  </si>
  <si>
    <t xml:space="preserve">-Postes Refuerzo        </t>
  </si>
  <si>
    <t xml:space="preserve">-Puntales                        </t>
  </si>
  <si>
    <t xml:space="preserve">-Postes Intermedios </t>
  </si>
  <si>
    <t xml:space="preserve">-Puntales                 </t>
  </si>
  <si>
    <t xml:space="preserve">-Postes         </t>
  </si>
  <si>
    <t xml:space="preserve">-Puntales </t>
  </si>
  <si>
    <t xml:space="preserve">-Postes Esquineros        </t>
  </si>
  <si>
    <t xml:space="preserve">Torniquete TV o Mini Zincado                    </t>
  </si>
  <si>
    <t xml:space="preserve">Planchuela 7/8 x 3/16'' x 6mts                     </t>
  </si>
  <si>
    <t xml:space="preserve">Planchuela 7/8 x 3/16'' x 1.5mts / 1.8mt / 2mt                     </t>
  </si>
  <si>
    <t xml:space="preserve">Esparragos Galvanizados de 3/8" x 10" </t>
  </si>
  <si>
    <t xml:space="preserve">Alambre Liso de Alta Resist. 16/14 x 1 mt     </t>
  </si>
  <si>
    <t xml:space="preserve">Alambre de Púas por metro                        </t>
  </si>
  <si>
    <t>Puntales 2mt</t>
  </si>
  <si>
    <t>Precio x mtl &lt; 50 ml (cercos de menos de 50metros lineales)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</si>
</sst>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\ #,##0;[Red]\-&quot;$&quot;\ #,##0"/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  <numFmt numFmtId="165" formatCode="_-[$$-2C0A]\ * #,##0.00_-;\-[$$-2C0A]\ * #,##0.00_-;_-[$$-2C0A]\ * &quot;-&quot;??_-;_-@"/>
    <numFmt numFmtId="166" formatCode="&quot;$&quot;#,##0.00"/>
    <numFmt numFmtId="167" formatCode="_-&quot;$&quot;\ * #,##0_-;\-&quot;$&quot;\ * #,##0_-;_-&quot;$&quot;\ * &quot;-&quot;??_-;_-@"/>
    <numFmt numFmtId="168" formatCode="&quot;$&quot;#,##0"/>
  </numFmts>
  <fonts count="9" x14ac:knownFonts="1">
    <font>
      <sz val="11"/>
      <color theme="1"/>
      <name val="Arial"/>
      <scheme val="minor"/>
    </font>
    <font>
      <sz val="1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theme="1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rgb="FFFFFF66"/>
        <bgColor rgb="FFFFFF66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indexed="64"/>
      </patternFill>
    </fill>
  </fills>
  <borders count="36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medium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2" fillId="0" borderId="0" xfId="0" applyFont="1" applyAlignment="1">
      <alignment horizontal="left"/>
    </xf>
    <xf numFmtId="0" fontId="4" fillId="3" borderId="2" xfId="0" applyFont="1" applyFill="1" applyBorder="1"/>
    <xf numFmtId="0" fontId="4" fillId="3" borderId="3" xfId="0" applyFont="1" applyFill="1" applyBorder="1"/>
    <xf numFmtId="0" fontId="3" fillId="0" borderId="4" xfId="0" applyFont="1" applyBorder="1"/>
    <xf numFmtId="0" fontId="3" fillId="0" borderId="5" xfId="0" applyFont="1" applyBorder="1"/>
    <xf numFmtId="0" fontId="4" fillId="0" borderId="6" xfId="0" applyFont="1" applyBorder="1" applyAlignment="1">
      <alignment horizontal="center"/>
    </xf>
    <xf numFmtId="0" fontId="4" fillId="0" borderId="7" xfId="0" applyFont="1" applyBorder="1"/>
    <xf numFmtId="0" fontId="4" fillId="0" borderId="8" xfId="0" applyFont="1" applyBorder="1"/>
    <xf numFmtId="0" fontId="4" fillId="0" borderId="9" xfId="0" applyFont="1" applyBorder="1"/>
    <xf numFmtId="0" fontId="4" fillId="0" borderId="10" xfId="0" applyFont="1" applyBorder="1"/>
    <xf numFmtId="0" fontId="2" fillId="0" borderId="11" xfId="0" applyFont="1" applyBorder="1" applyAlignment="1">
      <alignment horizontal="left"/>
    </xf>
    <xf numFmtId="164" fontId="3" fillId="0" borderId="8" xfId="0" applyNumberFormat="1" applyFont="1" applyBorder="1"/>
    <xf numFmtId="0" fontId="3" fillId="0" borderId="8" xfId="0" applyFont="1" applyBorder="1"/>
    <xf numFmtId="0" fontId="2" fillId="0" borderId="9" xfId="0" applyFont="1" applyBorder="1" applyAlignment="1">
      <alignment horizontal="center"/>
    </xf>
    <xf numFmtId="0" fontId="2" fillId="0" borderId="8" xfId="0" applyFont="1" applyBorder="1"/>
    <xf numFmtId="0" fontId="2" fillId="0" borderId="8" xfId="0" applyFont="1" applyBorder="1" applyAlignment="1">
      <alignment horizontal="center"/>
    </xf>
    <xf numFmtId="164" fontId="2" fillId="0" borderId="8" xfId="0" applyNumberFormat="1" applyFont="1" applyBorder="1"/>
    <xf numFmtId="164" fontId="2" fillId="0" borderId="7" xfId="0" applyNumberFormat="1" applyFont="1" applyBorder="1"/>
    <xf numFmtId="164" fontId="3" fillId="0" borderId="12" xfId="0" applyNumberFormat="1" applyFont="1" applyBorder="1"/>
    <xf numFmtId="0" fontId="2" fillId="0" borderId="13" xfId="0" applyFont="1" applyBorder="1" applyAlignment="1">
      <alignment horizontal="center"/>
    </xf>
    <xf numFmtId="0" fontId="2" fillId="0" borderId="12" xfId="0" applyFont="1" applyBorder="1"/>
    <xf numFmtId="0" fontId="2" fillId="0" borderId="12" xfId="0" applyFont="1" applyBorder="1" applyAlignment="1">
      <alignment horizontal="center"/>
    </xf>
    <xf numFmtId="164" fontId="2" fillId="0" borderId="12" xfId="0" applyNumberFormat="1" applyFont="1" applyBorder="1"/>
    <xf numFmtId="164" fontId="2" fillId="0" borderId="14" xfId="0" applyNumberFormat="1" applyFont="1" applyBorder="1"/>
    <xf numFmtId="164" fontId="2" fillId="0" borderId="11" xfId="0" applyNumberFormat="1" applyFont="1" applyBorder="1" applyAlignment="1">
      <alignment horizontal="left"/>
    </xf>
    <xf numFmtId="164" fontId="2" fillId="0" borderId="0" xfId="0" applyNumberFormat="1" applyFont="1" applyAlignment="1">
      <alignment horizontal="left"/>
    </xf>
    <xf numFmtId="0" fontId="3" fillId="0" borderId="12" xfId="0" applyFont="1" applyBorder="1"/>
    <xf numFmtId="0" fontId="3" fillId="0" borderId="15" xfId="0" applyFont="1" applyBorder="1"/>
    <xf numFmtId="0" fontId="2" fillId="0" borderId="16" xfId="0" applyFont="1" applyBorder="1" applyAlignment="1">
      <alignment horizontal="center"/>
    </xf>
    <xf numFmtId="0" fontId="2" fillId="0" borderId="15" xfId="0" applyFont="1" applyBorder="1"/>
    <xf numFmtId="0" fontId="2" fillId="0" borderId="15" xfId="0" applyFont="1" applyBorder="1" applyAlignment="1">
      <alignment horizontal="center"/>
    </xf>
    <xf numFmtId="164" fontId="2" fillId="0" borderId="15" xfId="0" applyNumberFormat="1" applyFont="1" applyBorder="1"/>
    <xf numFmtId="164" fontId="2" fillId="0" borderId="17" xfId="0" applyNumberFormat="1" applyFont="1" applyBorder="1"/>
    <xf numFmtId="164" fontId="2" fillId="0" borderId="8" xfId="0" applyNumberFormat="1" applyFont="1" applyBorder="1" applyAlignment="1">
      <alignment horizontal="right"/>
    </xf>
    <xf numFmtId="164" fontId="2" fillId="0" borderId="12" xfId="0" applyNumberFormat="1" applyFont="1" applyBorder="1" applyAlignment="1">
      <alignment horizontal="right"/>
    </xf>
    <xf numFmtId="164" fontId="2" fillId="0" borderId="15" xfId="0" applyNumberFormat="1" applyFont="1" applyBorder="1" applyAlignment="1">
      <alignment horizontal="right"/>
    </xf>
    <xf numFmtId="165" fontId="2" fillId="0" borderId="8" xfId="0" applyNumberFormat="1" applyFont="1" applyBorder="1" applyAlignment="1">
      <alignment horizontal="right"/>
    </xf>
    <xf numFmtId="165" fontId="2" fillId="0" borderId="12" xfId="0" applyNumberFormat="1" applyFont="1" applyBorder="1" applyAlignment="1">
      <alignment horizontal="right"/>
    </xf>
    <xf numFmtId="165" fontId="2" fillId="0" borderId="15" xfId="0" applyNumberFormat="1" applyFont="1" applyBorder="1" applyAlignment="1">
      <alignment horizontal="right"/>
    </xf>
    <xf numFmtId="165" fontId="2" fillId="0" borderId="8" xfId="0" applyNumberFormat="1" applyFont="1" applyBorder="1"/>
    <xf numFmtId="165" fontId="2" fillId="0" borderId="12" xfId="0" applyNumberFormat="1" applyFont="1" applyBorder="1"/>
    <xf numFmtId="165" fontId="2" fillId="0" borderId="15" xfId="0" applyNumberFormat="1" applyFont="1" applyBorder="1"/>
    <xf numFmtId="0" fontId="2" fillId="0" borderId="4" xfId="0" applyFont="1" applyBorder="1" applyAlignment="1">
      <alignment horizontal="center"/>
    </xf>
    <xf numFmtId="0" fontId="2" fillId="0" borderId="6" xfId="0" applyFont="1" applyBorder="1"/>
    <xf numFmtId="0" fontId="2" fillId="0" borderId="6" xfId="0" applyFont="1" applyBorder="1" applyAlignment="1">
      <alignment horizontal="center"/>
    </xf>
    <xf numFmtId="165" fontId="2" fillId="0" borderId="6" xfId="0" applyNumberFormat="1" applyFont="1" applyBorder="1"/>
    <xf numFmtId="164" fontId="2" fillId="0" borderId="5" xfId="0" applyNumberFormat="1" applyFont="1" applyBorder="1"/>
    <xf numFmtId="0" fontId="4" fillId="3" borderId="20" xfId="0" applyFont="1" applyFill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164" fontId="6" fillId="0" borderId="21" xfId="0" applyNumberFormat="1" applyFont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164" fontId="6" fillId="0" borderId="25" xfId="0" applyNumberFormat="1" applyFont="1" applyBorder="1" applyAlignment="1">
      <alignment horizontal="center" vertical="center" wrapText="1"/>
    </xf>
    <xf numFmtId="0" fontId="4" fillId="3" borderId="27" xfId="0" applyFont="1" applyFill="1" applyBorder="1" applyAlignment="1">
      <alignment horizontal="center" vertical="center" wrapText="1"/>
    </xf>
    <xf numFmtId="0" fontId="2" fillId="5" borderId="27" xfId="0" applyFont="1" applyFill="1" applyBorder="1" applyAlignment="1">
      <alignment horizontal="center" vertical="center" wrapText="1"/>
    </xf>
    <xf numFmtId="0" fontId="4" fillId="5" borderId="27" xfId="0" applyFont="1" applyFill="1" applyBorder="1" applyAlignment="1">
      <alignment horizontal="center" vertical="center" wrapText="1"/>
    </xf>
    <xf numFmtId="164" fontId="6" fillId="5" borderId="28" xfId="0" applyNumberFormat="1" applyFont="1" applyFill="1" applyBorder="1" applyAlignment="1">
      <alignment horizontal="center" vertical="center" wrapText="1"/>
    </xf>
    <xf numFmtId="0" fontId="4" fillId="6" borderId="30" xfId="0" applyFont="1" applyFill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4" fillId="0" borderId="30" xfId="0" applyFont="1" applyBorder="1" applyAlignment="1">
      <alignment horizontal="center" vertical="center" wrapText="1"/>
    </xf>
    <xf numFmtId="164" fontId="6" fillId="0" borderId="31" xfId="0" applyNumberFormat="1" applyFont="1" applyBorder="1" applyAlignment="1">
      <alignment horizontal="center" vertical="center" wrapText="1"/>
    </xf>
    <xf numFmtId="0" fontId="4" fillId="6" borderId="24" xfId="0" applyFont="1" applyFill="1" applyBorder="1" applyAlignment="1">
      <alignment horizontal="center" vertical="center" wrapText="1"/>
    </xf>
    <xf numFmtId="0" fontId="4" fillId="6" borderId="34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4" fillId="5" borderId="34" xfId="0" applyFont="1" applyFill="1" applyBorder="1" applyAlignment="1">
      <alignment horizontal="center" vertical="center" wrapText="1"/>
    </xf>
    <xf numFmtId="164" fontId="6" fillId="5" borderId="35" xfId="0" applyNumberFormat="1" applyFont="1" applyFill="1" applyBorder="1" applyAlignment="1">
      <alignment horizontal="center" vertical="center" wrapText="1"/>
    </xf>
    <xf numFmtId="6" fontId="2" fillId="0" borderId="8" xfId="0" applyNumberFormat="1" applyFont="1" applyBorder="1"/>
    <xf numFmtId="6" fontId="2" fillId="0" borderId="12" xfId="0" applyNumberFormat="1" applyFont="1" applyBorder="1"/>
    <xf numFmtId="8" fontId="2" fillId="0" borderId="8" xfId="0" applyNumberFormat="1" applyFont="1" applyBorder="1"/>
    <xf numFmtId="8" fontId="2" fillId="0" borderId="12" xfId="0" applyNumberFormat="1" applyFont="1" applyBorder="1"/>
    <xf numFmtId="164" fontId="3" fillId="0" borderId="0" xfId="0" applyNumberFormat="1" applyFont="1"/>
    <xf numFmtId="166" fontId="3" fillId="0" borderId="0" xfId="0" applyNumberFormat="1" applyFont="1"/>
    <xf numFmtId="44" fontId="3" fillId="0" borderId="0" xfId="0" applyNumberFormat="1" applyFont="1"/>
    <xf numFmtId="0" fontId="4" fillId="7" borderId="10" xfId="0" applyFont="1" applyFill="1" applyBorder="1"/>
    <xf numFmtId="164" fontId="2" fillId="7" borderId="11" xfId="0" applyNumberFormat="1" applyFont="1" applyFill="1" applyBorder="1" applyAlignment="1">
      <alignment horizontal="left"/>
    </xf>
    <xf numFmtId="164" fontId="2" fillId="0" borderId="8" xfId="0" applyNumberFormat="1" applyFont="1" applyBorder="1" applyAlignment="1">
      <alignment horizontal="center" vertical="center"/>
    </xf>
    <xf numFmtId="0" fontId="1" fillId="0" borderId="12" xfId="0" applyFont="1" applyBorder="1"/>
    <xf numFmtId="0" fontId="1" fillId="0" borderId="15" xfId="0" applyFont="1" applyBorder="1"/>
    <xf numFmtId="0" fontId="5" fillId="2" borderId="18" xfId="0" applyFont="1" applyFill="1" applyBorder="1" applyAlignment="1">
      <alignment horizontal="center" vertical="center" wrapText="1"/>
    </xf>
    <xf numFmtId="0" fontId="1" fillId="0" borderId="22" xfId="0" applyFont="1" applyBorder="1"/>
    <xf numFmtId="0" fontId="1" fillId="0" borderId="32" xfId="0" applyFont="1" applyBorder="1"/>
    <xf numFmtId="0" fontId="4" fillId="4" borderId="19" xfId="0" applyFont="1" applyFill="1" applyBorder="1" applyAlignment="1">
      <alignment horizontal="center" vertical="center" wrapText="1"/>
    </xf>
    <xf numFmtId="0" fontId="1" fillId="0" borderId="23" xfId="0" applyFont="1" applyBorder="1"/>
    <xf numFmtId="0" fontId="1" fillId="0" borderId="26" xfId="0" applyFont="1" applyBorder="1"/>
    <xf numFmtId="0" fontId="4" fillId="6" borderId="29" xfId="0" applyFont="1" applyFill="1" applyBorder="1" applyAlignment="1">
      <alignment horizontal="center" vertical="center" wrapText="1"/>
    </xf>
    <xf numFmtId="0" fontId="1" fillId="0" borderId="33" xfId="0" applyFont="1" applyBorder="1"/>
    <xf numFmtId="14" fontId="0" fillId="0" borderId="0" xfId="0" applyNumberFormat="1"/>
    <xf numFmtId="167" fontId="0" fillId="0" borderId="0" xfId="0" applyNumberFormat="1"/>
    <xf numFmtId="164" fontId="0" fillId="0" borderId="0" xfId="0" applyNumberFormat="1"/>
    <xf numFmtId="166" fontId="0" fillId="0" borderId="0" xfId="0" applyNumberFormat="1"/>
    <xf numFmtId="2" fontId="0" fillId="0" borderId="0" xfId="0" applyNumberFormat="1"/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61</xdr:row>
      <xdr:rowOff>0</xdr:rowOff>
    </xdr:from>
    <xdr:ext cx="847725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28575</xdr:rowOff>
    </xdr:from>
    <xdr:ext cx="619125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61</xdr:row>
      <xdr:rowOff>0</xdr:rowOff>
    </xdr:from>
    <xdr:ext cx="847725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28575</xdr:rowOff>
    </xdr:from>
    <xdr:ext cx="619125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61</xdr:row>
      <xdr:rowOff>0</xdr:rowOff>
    </xdr:from>
    <xdr:ext cx="847725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28575</xdr:rowOff>
    </xdr:from>
    <xdr:ext cx="619125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61</xdr:row>
      <xdr:rowOff>0</xdr:rowOff>
    </xdr:from>
    <xdr:ext cx="847725" cy="361950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495300</xdr:colOff>
      <xdr:row>0</xdr:row>
      <xdr:rowOff>28575</xdr:rowOff>
    </xdr:from>
    <xdr:ext cx="619125" cy="314325"/>
    <xdr:pic>
      <xdr:nvPicPr>
        <xdr:cNvPr id="3" name="image2.png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3"/>
  <sheetViews>
    <sheetView workbookViewId="0">
      <selection sqref="A1:B1048576"/>
    </sheetView>
  </sheetViews>
  <sheetFormatPr baseColWidth="10" defaultColWidth="12.6171875" defaultRowHeight="15" customHeight="1" x14ac:dyDescent="0.45"/>
  <cols>
    <col min="1" max="1" width="39.42578125" customWidth="1"/>
    <col min="2" max="2" width="11.76171875" customWidth="1"/>
    <col min="3" max="22" width="10.6171875" customWidth="1"/>
  </cols>
  <sheetData>
    <row r="1" spans="1:2" ht="13.5" customHeight="1" x14ac:dyDescent="0.45">
      <c r="A1" s="92">
        <v>45944</v>
      </c>
    </row>
    <row r="2" spans="1:2" ht="15.75" customHeight="1" x14ac:dyDescent="0.45">
      <c r="A2" t="s">
        <v>0</v>
      </c>
    </row>
    <row r="3" spans="1:2" ht="13.5" customHeight="1" x14ac:dyDescent="0.45">
      <c r="A3" t="s">
        <v>1</v>
      </c>
    </row>
    <row r="4" spans="1:2" ht="13.5" customHeight="1" x14ac:dyDescent="0.45">
      <c r="A4" t="s">
        <v>2</v>
      </c>
      <c r="B4" s="93">
        <v>65445.027999999998</v>
      </c>
    </row>
    <row r="5" spans="1:2" ht="13.5" customHeight="1" x14ac:dyDescent="0.45">
      <c r="A5" t="s">
        <v>185</v>
      </c>
      <c r="B5" s="93">
        <v>80651.34</v>
      </c>
    </row>
    <row r="6" spans="1:2" ht="13.5" customHeight="1" x14ac:dyDescent="0.45">
      <c r="A6" t="s">
        <v>3</v>
      </c>
    </row>
    <row r="7" spans="1:2" ht="13.5" customHeight="1" x14ac:dyDescent="0.45">
      <c r="A7" t="s">
        <v>4</v>
      </c>
      <c r="B7" s="93">
        <v>99041.403999999995</v>
      </c>
    </row>
    <row r="8" spans="1:2" ht="13.5" customHeight="1" x14ac:dyDescent="0.45">
      <c r="A8" t="s">
        <v>186</v>
      </c>
      <c r="B8" s="93">
        <v>115550.16</v>
      </c>
    </row>
    <row r="9" spans="1:2" ht="13.5" customHeight="1" x14ac:dyDescent="0.45">
      <c r="A9" t="s">
        <v>5</v>
      </c>
      <c r="B9" s="93">
        <v>100199.132</v>
      </c>
    </row>
    <row r="10" spans="1:2" ht="13.5" customHeight="1" x14ac:dyDescent="0.45">
      <c r="A10" t="s">
        <v>187</v>
      </c>
      <c r="B10" s="93">
        <v>110796.796</v>
      </c>
    </row>
    <row r="11" spans="1:2" ht="13.5" customHeight="1" x14ac:dyDescent="0.45">
      <c r="A11" t="s">
        <v>6</v>
      </c>
    </row>
    <row r="12" spans="1:2" ht="13.5" customHeight="1" x14ac:dyDescent="0.45">
      <c r="A12" t="s">
        <v>7</v>
      </c>
      <c r="B12" s="93">
        <v>152463.872</v>
      </c>
    </row>
    <row r="13" spans="1:2" ht="13.5" customHeight="1" x14ac:dyDescent="0.45">
      <c r="A13" t="s">
        <v>188</v>
      </c>
      <c r="B13" s="93">
        <v>169451.304</v>
      </c>
    </row>
    <row r="14" spans="1:2" ht="13.5" customHeight="1" x14ac:dyDescent="0.45">
      <c r="B14" s="94"/>
    </row>
    <row r="15" spans="1:2" ht="54.75" customHeight="1" x14ac:dyDescent="0.45">
      <c r="A15" t="s">
        <v>8</v>
      </c>
    </row>
    <row r="16" spans="1:2" ht="13.5" customHeight="1" x14ac:dyDescent="0.45"/>
    <row r="17" spans="1:2" ht="13.5" customHeight="1" x14ac:dyDescent="0.45"/>
    <row r="18" spans="1:2" ht="75" customHeight="1" x14ac:dyDescent="0.45">
      <c r="A18" t="s">
        <v>9</v>
      </c>
    </row>
    <row r="19" spans="1:2" ht="13.5" customHeight="1" x14ac:dyDescent="0.45">
      <c r="A19" t="s">
        <v>1</v>
      </c>
    </row>
    <row r="20" spans="1:2" ht="13.5" customHeight="1" x14ac:dyDescent="0.45">
      <c r="A20" t="s">
        <v>2</v>
      </c>
      <c r="B20" s="93">
        <v>60190.724000000002</v>
      </c>
    </row>
    <row r="21" spans="1:2" ht="13.5" customHeight="1" x14ac:dyDescent="0.45">
      <c r="A21" t="s">
        <v>185</v>
      </c>
      <c r="B21" s="93">
        <v>75252.320000000007</v>
      </c>
    </row>
    <row r="22" spans="1:2" ht="13.5" customHeight="1" x14ac:dyDescent="0.45">
      <c r="A22" t="s">
        <v>3</v>
      </c>
      <c r="B22" s="95"/>
    </row>
    <row r="23" spans="1:2" ht="13.5" customHeight="1" x14ac:dyDescent="0.45">
      <c r="A23" t="s">
        <v>4</v>
      </c>
      <c r="B23" s="93">
        <v>87798.084000000003</v>
      </c>
    </row>
    <row r="24" spans="1:2" ht="13.5" customHeight="1" x14ac:dyDescent="0.45">
      <c r="A24" t="s">
        <v>186</v>
      </c>
      <c r="B24" s="93">
        <v>103583.26000000001</v>
      </c>
    </row>
    <row r="25" spans="1:2" ht="13.5" customHeight="1" x14ac:dyDescent="0.45">
      <c r="A25" t="s">
        <v>5</v>
      </c>
      <c r="B25" s="93">
        <v>90325.047999999995</v>
      </c>
    </row>
    <row r="26" spans="1:2" ht="13.5" customHeight="1" x14ac:dyDescent="0.45">
      <c r="A26" t="s">
        <v>187</v>
      </c>
      <c r="B26" s="93">
        <v>99475.551999999996</v>
      </c>
    </row>
    <row r="27" spans="1:2" ht="13.5" customHeight="1" x14ac:dyDescent="0.45">
      <c r="A27" t="s">
        <v>6</v>
      </c>
      <c r="B27" s="95"/>
    </row>
    <row r="28" spans="1:2" ht="13.5" customHeight="1" x14ac:dyDescent="0.45">
      <c r="A28" t="s">
        <v>7</v>
      </c>
      <c r="B28" s="93">
        <v>135487.57200000001</v>
      </c>
    </row>
    <row r="29" spans="1:2" ht="13.5" customHeight="1" x14ac:dyDescent="0.45">
      <c r="A29" t="s">
        <v>188</v>
      </c>
      <c r="B29" s="93">
        <v>163662.66399999999</v>
      </c>
    </row>
    <row r="30" spans="1:2" ht="13.5" customHeight="1" x14ac:dyDescent="0.45">
      <c r="B30" s="94"/>
    </row>
    <row r="31" spans="1:2" ht="54.75" customHeight="1" x14ac:dyDescent="0.45">
      <c r="A31" t="s">
        <v>8</v>
      </c>
    </row>
    <row r="32" spans="1:2" ht="13.5" customHeight="1" x14ac:dyDescent="0.45">
      <c r="A32" t="s">
        <v>189</v>
      </c>
    </row>
    <row r="33" spans="1:2" ht="13.5" customHeight="1" x14ac:dyDescent="0.45"/>
    <row r="34" spans="1:2" ht="75" customHeight="1" x14ac:dyDescent="0.45">
      <c r="A34" t="s">
        <v>10</v>
      </c>
    </row>
    <row r="35" spans="1:2" ht="13.5" customHeight="1" x14ac:dyDescent="0.45">
      <c r="A35" t="s">
        <v>1</v>
      </c>
    </row>
    <row r="36" spans="1:2" ht="13.5" customHeight="1" x14ac:dyDescent="0.45">
      <c r="A36" t="s">
        <v>2</v>
      </c>
      <c r="B36" s="94">
        <v>50672.864000000001</v>
      </c>
    </row>
    <row r="37" spans="1:2" ht="13.5" customHeight="1" x14ac:dyDescent="0.45">
      <c r="A37" t="s">
        <v>185</v>
      </c>
      <c r="B37" s="94">
        <v>62272.407999999996</v>
      </c>
    </row>
    <row r="38" spans="1:2" ht="13.5" customHeight="1" x14ac:dyDescent="0.45">
      <c r="A38" t="s">
        <v>3</v>
      </c>
      <c r="B38" s="95"/>
    </row>
    <row r="39" spans="1:2" ht="13.5" customHeight="1" x14ac:dyDescent="0.45">
      <c r="A39" t="s">
        <v>190</v>
      </c>
      <c r="B39" s="94">
        <v>72012.907999999996</v>
      </c>
    </row>
    <row r="40" spans="1:2" ht="13.5" customHeight="1" x14ac:dyDescent="0.45">
      <c r="A40" t="s">
        <v>186</v>
      </c>
      <c r="B40" s="94">
        <v>87798.084000000003</v>
      </c>
    </row>
    <row r="41" spans="1:2" ht="13.5" customHeight="1" x14ac:dyDescent="0.45">
      <c r="A41" t="s">
        <v>5</v>
      </c>
      <c r="B41" s="94">
        <v>76231.936000000002</v>
      </c>
    </row>
    <row r="42" spans="1:2" ht="13.5" customHeight="1" x14ac:dyDescent="0.45">
      <c r="A42" t="s">
        <v>187</v>
      </c>
      <c r="B42" s="94">
        <v>85382.44</v>
      </c>
    </row>
    <row r="43" spans="1:2" ht="13.5" customHeight="1" x14ac:dyDescent="0.45">
      <c r="A43" t="s">
        <v>6</v>
      </c>
      <c r="B43" s="95"/>
    </row>
    <row r="44" spans="1:2" ht="13.5" customHeight="1" x14ac:dyDescent="0.45">
      <c r="A44" t="s">
        <v>7</v>
      </c>
      <c r="B44" s="94">
        <v>115004.692</v>
      </c>
    </row>
    <row r="45" spans="1:2" ht="13.5" customHeight="1" x14ac:dyDescent="0.45">
      <c r="A45" t="s">
        <v>188</v>
      </c>
      <c r="B45" s="94">
        <v>121394.46</v>
      </c>
    </row>
    <row r="46" spans="1:2" ht="13.5" customHeight="1" x14ac:dyDescent="0.45">
      <c r="B46" s="94"/>
    </row>
    <row r="47" spans="1:2" ht="54.75" customHeight="1" x14ac:dyDescent="0.45">
      <c r="A47" t="s">
        <v>8</v>
      </c>
    </row>
    <row r="48" spans="1:2" ht="13.5" customHeight="1" x14ac:dyDescent="0.45"/>
    <row r="49" spans="1:2" ht="13.5" customHeight="1" x14ac:dyDescent="0.45"/>
    <row r="50" spans="1:2" ht="75" customHeight="1" x14ac:dyDescent="0.45">
      <c r="A50" t="s">
        <v>11</v>
      </c>
    </row>
    <row r="51" spans="1:2" ht="13.5" customHeight="1" x14ac:dyDescent="0.45">
      <c r="A51" t="s">
        <v>1</v>
      </c>
    </row>
    <row r="52" spans="1:2" ht="13.5" customHeight="1" x14ac:dyDescent="0.45">
      <c r="A52" t="s">
        <v>2</v>
      </c>
      <c r="B52" s="94">
        <v>40110</v>
      </c>
    </row>
    <row r="53" spans="1:2" ht="13.5" customHeight="1" x14ac:dyDescent="0.45">
      <c r="A53" t="s">
        <v>185</v>
      </c>
      <c r="B53" s="94">
        <v>47950</v>
      </c>
    </row>
    <row r="54" spans="1:2" ht="13.5" customHeight="1" x14ac:dyDescent="0.45">
      <c r="A54" t="s">
        <v>3</v>
      </c>
    </row>
    <row r="55" spans="1:2" ht="13.5" customHeight="1" x14ac:dyDescent="0.45">
      <c r="A55" t="s">
        <v>4</v>
      </c>
      <c r="B55" s="94">
        <v>55240</v>
      </c>
    </row>
    <row r="56" spans="1:2" ht="13.5" customHeight="1" x14ac:dyDescent="0.45">
      <c r="A56" t="s">
        <v>186</v>
      </c>
      <c r="B56" s="94">
        <v>65340</v>
      </c>
    </row>
    <row r="57" spans="1:2" ht="13.5" customHeight="1" x14ac:dyDescent="0.45">
      <c r="A57" t="s">
        <v>5</v>
      </c>
      <c r="B57" s="94">
        <v>55820</v>
      </c>
    </row>
    <row r="58" spans="1:2" ht="13.5" customHeight="1" x14ac:dyDescent="0.45">
      <c r="A58" t="s">
        <v>187</v>
      </c>
      <c r="B58" s="94">
        <v>64040</v>
      </c>
    </row>
    <row r="59" spans="1:2" ht="13.5" customHeight="1" x14ac:dyDescent="0.45">
      <c r="A59" t="s">
        <v>6</v>
      </c>
    </row>
    <row r="60" spans="1:2" ht="13.5" customHeight="1" x14ac:dyDescent="0.45">
      <c r="A60" t="s">
        <v>7</v>
      </c>
      <c r="B60" s="94">
        <v>81790</v>
      </c>
    </row>
    <row r="61" spans="1:2" ht="13.5" customHeight="1" x14ac:dyDescent="0.45">
      <c r="A61" t="s">
        <v>188</v>
      </c>
      <c r="B61" s="94">
        <v>91310</v>
      </c>
    </row>
    <row r="62" spans="1:2" ht="13.5" customHeight="1" x14ac:dyDescent="0.45">
      <c r="B62" s="94"/>
    </row>
    <row r="63" spans="1:2" ht="54.75" customHeight="1" x14ac:dyDescent="0.45">
      <c r="A63" t="s">
        <v>8</v>
      </c>
    </row>
    <row r="64" spans="1:2" ht="13.5" customHeight="1" x14ac:dyDescent="0.45"/>
    <row r="65" spans="1:2" ht="13.5" customHeight="1" x14ac:dyDescent="0.45"/>
    <row r="66" spans="1:2" ht="75" customHeight="1" x14ac:dyDescent="0.45">
      <c r="A66" t="s">
        <v>12</v>
      </c>
    </row>
    <row r="67" spans="1:2" ht="13.5" customHeight="1" x14ac:dyDescent="0.45">
      <c r="A67" t="s">
        <v>1</v>
      </c>
    </row>
    <row r="68" spans="1:2" ht="13.5" customHeight="1" x14ac:dyDescent="0.45">
      <c r="A68" t="s">
        <v>2</v>
      </c>
      <c r="B68" s="94">
        <v>32510</v>
      </c>
    </row>
    <row r="69" spans="1:2" ht="13.5" customHeight="1" x14ac:dyDescent="0.45">
      <c r="A69" t="s">
        <v>185</v>
      </c>
      <c r="B69" s="94">
        <v>41580</v>
      </c>
    </row>
    <row r="70" spans="1:2" ht="13.5" customHeight="1" x14ac:dyDescent="0.45">
      <c r="A70" t="s">
        <v>3</v>
      </c>
    </row>
    <row r="71" spans="1:2" ht="13.5" customHeight="1" x14ac:dyDescent="0.45">
      <c r="A71" t="s">
        <v>4</v>
      </c>
      <c r="B71" s="94">
        <v>46820</v>
      </c>
    </row>
    <row r="72" spans="1:2" ht="13.5" customHeight="1" x14ac:dyDescent="0.45">
      <c r="A72" t="s">
        <v>186</v>
      </c>
      <c r="B72" s="94">
        <v>56930</v>
      </c>
    </row>
    <row r="73" spans="1:2" ht="13.5" customHeight="1" x14ac:dyDescent="0.45">
      <c r="A73" t="s">
        <v>5</v>
      </c>
      <c r="B73" s="94">
        <v>46950</v>
      </c>
    </row>
    <row r="74" spans="1:2" ht="13.5" customHeight="1" x14ac:dyDescent="0.45">
      <c r="A74" t="s">
        <v>187</v>
      </c>
      <c r="B74" s="94">
        <v>55170</v>
      </c>
    </row>
    <row r="75" spans="1:2" ht="13.5" customHeight="1" x14ac:dyDescent="0.45">
      <c r="A75" t="s">
        <v>6</v>
      </c>
    </row>
    <row r="76" spans="1:2" ht="13.5" customHeight="1" x14ac:dyDescent="0.45">
      <c r="A76" t="s">
        <v>7</v>
      </c>
      <c r="B76" s="94">
        <v>69130</v>
      </c>
    </row>
    <row r="77" spans="1:2" ht="13.5" customHeight="1" x14ac:dyDescent="0.45">
      <c r="A77" t="s">
        <v>188</v>
      </c>
      <c r="B77" s="94">
        <v>74860</v>
      </c>
    </row>
    <row r="78" spans="1:2" ht="13.5" customHeight="1" x14ac:dyDescent="0.45">
      <c r="B78" s="94"/>
    </row>
    <row r="79" spans="1:2" ht="54.75" customHeight="1" x14ac:dyDescent="0.45">
      <c r="A79" t="s">
        <v>8</v>
      </c>
    </row>
    <row r="80" spans="1:2" ht="13.5" customHeight="1" x14ac:dyDescent="0.45"/>
    <row r="81" spans="1:2" ht="13.5" customHeight="1" x14ac:dyDescent="0.45"/>
    <row r="82" spans="1:2" ht="75" customHeight="1" x14ac:dyDescent="0.45">
      <c r="A82" t="s">
        <v>13</v>
      </c>
    </row>
    <row r="83" spans="1:2" ht="13.5" customHeight="1" x14ac:dyDescent="0.45">
      <c r="A83" t="s">
        <v>191</v>
      </c>
      <c r="B83" s="94">
        <v>84600</v>
      </c>
    </row>
    <row r="84" spans="1:2" ht="13.5" customHeight="1" x14ac:dyDescent="0.45">
      <c r="A84" t="s">
        <v>192</v>
      </c>
      <c r="B84" s="94">
        <v>113290</v>
      </c>
    </row>
    <row r="85" spans="1:2" ht="13.5" customHeight="1" x14ac:dyDescent="0.45">
      <c r="A85" t="s">
        <v>193</v>
      </c>
      <c r="B85" s="94">
        <v>125400</v>
      </c>
    </row>
    <row r="86" spans="1:2" ht="13.5" customHeight="1" x14ac:dyDescent="0.45">
      <c r="A86" t="s">
        <v>194</v>
      </c>
      <c r="B86" s="94">
        <v>150880</v>
      </c>
    </row>
    <row r="87" spans="1:2" ht="13.5" customHeight="1" x14ac:dyDescent="0.45">
      <c r="B87" s="94"/>
    </row>
    <row r="88" spans="1:2" ht="54.75" customHeight="1" x14ac:dyDescent="0.45">
      <c r="A88" t="s">
        <v>8</v>
      </c>
    </row>
    <row r="89" spans="1:2" ht="13.5" customHeight="1" x14ac:dyDescent="0.45"/>
    <row r="90" spans="1:2" ht="13.5" customHeight="1" x14ac:dyDescent="0.45"/>
    <row r="91" spans="1:2" ht="75" customHeight="1" x14ac:dyDescent="0.45">
      <c r="A91" t="s">
        <v>14</v>
      </c>
    </row>
    <row r="92" spans="1:2" ht="13.5" customHeight="1" x14ac:dyDescent="0.45">
      <c r="A92" t="s">
        <v>191</v>
      </c>
      <c r="B92" s="94">
        <v>76010</v>
      </c>
    </row>
    <row r="93" spans="1:2" ht="13.5" customHeight="1" x14ac:dyDescent="0.45">
      <c r="A93" t="s">
        <v>192</v>
      </c>
      <c r="B93" s="94">
        <v>106950</v>
      </c>
    </row>
    <row r="94" spans="1:2" ht="13.5" customHeight="1" x14ac:dyDescent="0.45">
      <c r="A94" t="s">
        <v>193</v>
      </c>
      <c r="B94" s="94">
        <v>111500</v>
      </c>
    </row>
    <row r="95" spans="1:2" ht="13.5" customHeight="1" x14ac:dyDescent="0.45">
      <c r="A95" t="s">
        <v>194</v>
      </c>
      <c r="B95" s="94">
        <v>133060</v>
      </c>
    </row>
    <row r="96" spans="1:2" ht="13.5" customHeight="1" x14ac:dyDescent="0.45">
      <c r="B96" s="94"/>
    </row>
    <row r="97" spans="1:2" ht="54.75" customHeight="1" x14ac:dyDescent="0.45">
      <c r="A97" t="s">
        <v>8</v>
      </c>
    </row>
    <row r="98" spans="1:2" ht="13.5" customHeight="1" x14ac:dyDescent="0.45"/>
    <row r="99" spans="1:2" ht="13.5" customHeight="1" x14ac:dyDescent="0.45"/>
    <row r="100" spans="1:2" ht="75" customHeight="1" x14ac:dyDescent="0.45">
      <c r="A100" t="s">
        <v>15</v>
      </c>
    </row>
    <row r="101" spans="1:2" ht="13.5" customHeight="1" x14ac:dyDescent="0.45">
      <c r="A101" t="s">
        <v>191</v>
      </c>
      <c r="B101" s="94">
        <v>63780</v>
      </c>
    </row>
    <row r="102" spans="1:2" ht="13.5" customHeight="1" x14ac:dyDescent="0.45">
      <c r="A102" t="s">
        <v>192</v>
      </c>
      <c r="B102" s="94">
        <v>85460</v>
      </c>
    </row>
    <row r="103" spans="1:2" ht="13.5" customHeight="1" x14ac:dyDescent="0.45">
      <c r="A103" t="s">
        <v>193</v>
      </c>
      <c r="B103" s="94">
        <v>91610</v>
      </c>
    </row>
    <row r="104" spans="1:2" ht="13.5" customHeight="1" x14ac:dyDescent="0.45">
      <c r="A104" t="s">
        <v>194</v>
      </c>
      <c r="B104" s="94">
        <v>107640</v>
      </c>
    </row>
    <row r="105" spans="1:2" ht="13.5" customHeight="1" x14ac:dyDescent="0.45">
      <c r="B105" s="94"/>
    </row>
    <row r="106" spans="1:2" ht="54.75" customHeight="1" x14ac:dyDescent="0.45">
      <c r="A106" t="s">
        <v>8</v>
      </c>
    </row>
    <row r="107" spans="1:2" ht="13.5" customHeight="1" x14ac:dyDescent="0.45"/>
    <row r="108" spans="1:2" ht="13.5" customHeight="1" x14ac:dyDescent="0.45"/>
    <row r="109" spans="1:2" ht="75" customHeight="1" x14ac:dyDescent="0.45">
      <c r="A109" t="s">
        <v>16</v>
      </c>
    </row>
    <row r="110" spans="1:2" ht="13.5" customHeight="1" x14ac:dyDescent="0.45">
      <c r="A110" t="s">
        <v>191</v>
      </c>
      <c r="B110" s="94">
        <v>51540</v>
      </c>
    </row>
    <row r="111" spans="1:2" ht="13.5" customHeight="1" x14ac:dyDescent="0.45">
      <c r="A111" t="s">
        <v>192</v>
      </c>
      <c r="B111" s="94">
        <v>69010</v>
      </c>
    </row>
    <row r="112" spans="1:2" ht="13.5" customHeight="1" x14ac:dyDescent="0.45">
      <c r="A112" t="s">
        <v>193</v>
      </c>
      <c r="B112" s="94">
        <v>73680</v>
      </c>
    </row>
    <row r="113" spans="1:2" ht="13.5" customHeight="1" x14ac:dyDescent="0.45">
      <c r="A113" t="s">
        <v>194</v>
      </c>
      <c r="B113" s="94">
        <v>86760</v>
      </c>
    </row>
    <row r="114" spans="1:2" ht="13.5" customHeight="1" x14ac:dyDescent="0.45">
      <c r="B114" s="94"/>
    </row>
    <row r="115" spans="1:2" ht="54.75" customHeight="1" x14ac:dyDescent="0.45">
      <c r="A115" t="s">
        <v>8</v>
      </c>
    </row>
    <row r="116" spans="1:2" ht="13.5" customHeight="1" x14ac:dyDescent="0.45"/>
    <row r="117" spans="1:2" ht="13.5" customHeight="1" x14ac:dyDescent="0.45"/>
    <row r="118" spans="1:2" ht="75" customHeight="1" x14ac:dyDescent="0.45">
      <c r="A118" t="s">
        <v>17</v>
      </c>
    </row>
    <row r="119" spans="1:2" ht="13.5" customHeight="1" x14ac:dyDescent="0.45">
      <c r="A119" t="s">
        <v>191</v>
      </c>
      <c r="B119" s="94">
        <v>47890</v>
      </c>
    </row>
    <row r="120" spans="1:2" ht="13.5" customHeight="1" x14ac:dyDescent="0.45">
      <c r="A120" t="s">
        <v>192</v>
      </c>
      <c r="B120" s="94">
        <v>58660</v>
      </c>
    </row>
    <row r="121" spans="1:2" ht="13.5" customHeight="1" x14ac:dyDescent="0.45">
      <c r="A121" t="s">
        <v>193</v>
      </c>
      <c r="B121" s="94">
        <v>62760</v>
      </c>
    </row>
    <row r="122" spans="1:2" ht="13.5" customHeight="1" x14ac:dyDescent="0.45">
      <c r="A122" t="s">
        <v>194</v>
      </c>
      <c r="B122" s="94">
        <v>73880</v>
      </c>
    </row>
    <row r="123" spans="1:2" ht="13.5" customHeight="1" x14ac:dyDescent="0.45">
      <c r="B123" s="94"/>
    </row>
    <row r="124" spans="1:2" ht="54.75" customHeight="1" x14ac:dyDescent="0.45">
      <c r="A124" t="s">
        <v>8</v>
      </c>
    </row>
    <row r="125" spans="1:2" ht="13.5" customHeight="1" x14ac:dyDescent="0.45"/>
    <row r="126" spans="1:2" ht="13.5" customHeight="1" x14ac:dyDescent="0.45"/>
    <row r="127" spans="1:2" ht="13.5" customHeight="1" x14ac:dyDescent="0.45"/>
    <row r="128" spans="1:2" ht="13.5" customHeight="1" x14ac:dyDescent="0.45"/>
    <row r="129" spans="1:2" ht="13.5" customHeight="1" x14ac:dyDescent="0.45"/>
    <row r="130" spans="1:2" ht="60" customHeight="1" x14ac:dyDescent="0.45">
      <c r="A130" t="s">
        <v>18</v>
      </c>
    </row>
    <row r="131" spans="1:2" ht="13.5" customHeight="1" x14ac:dyDescent="0.45">
      <c r="A131" t="s">
        <v>195</v>
      </c>
      <c r="B131" s="94">
        <v>51250</v>
      </c>
    </row>
    <row r="132" spans="1:2" ht="13.5" customHeight="1" x14ac:dyDescent="0.45">
      <c r="A132" t="s">
        <v>196</v>
      </c>
      <c r="B132" s="94">
        <v>46250</v>
      </c>
    </row>
    <row r="133" spans="1:2" ht="13.5" customHeight="1" x14ac:dyDescent="0.45">
      <c r="A133" t="s">
        <v>19</v>
      </c>
      <c r="B133" s="94">
        <v>43750</v>
      </c>
    </row>
    <row r="134" spans="1:2" ht="13.5" customHeight="1" x14ac:dyDescent="0.45">
      <c r="A134" t="s">
        <v>197</v>
      </c>
      <c r="B134" s="94">
        <v>22500</v>
      </c>
    </row>
    <row r="135" spans="1:2" ht="13.5" customHeight="1" x14ac:dyDescent="0.45"/>
    <row r="136" spans="1:2" ht="60" customHeight="1" x14ac:dyDescent="0.45">
      <c r="A136" t="s">
        <v>20</v>
      </c>
    </row>
    <row r="137" spans="1:2" ht="13.5" customHeight="1" x14ac:dyDescent="0.45">
      <c r="A137" t="s">
        <v>195</v>
      </c>
      <c r="B137" s="94">
        <v>35000</v>
      </c>
    </row>
    <row r="138" spans="1:2" ht="13.5" customHeight="1" x14ac:dyDescent="0.45">
      <c r="A138" t="s">
        <v>196</v>
      </c>
      <c r="B138" s="94">
        <v>31250</v>
      </c>
    </row>
    <row r="139" spans="1:2" ht="13.5" customHeight="1" x14ac:dyDescent="0.45">
      <c r="A139" t="s">
        <v>198</v>
      </c>
      <c r="B139" s="94">
        <v>28750</v>
      </c>
    </row>
    <row r="140" spans="1:2" ht="13.5" customHeight="1" x14ac:dyDescent="0.45">
      <c r="A140" t="s">
        <v>199</v>
      </c>
      <c r="B140" s="94">
        <v>22500</v>
      </c>
    </row>
    <row r="141" spans="1:2" ht="13.5" customHeight="1" x14ac:dyDescent="0.45"/>
    <row r="142" spans="1:2" ht="60" customHeight="1" x14ac:dyDescent="0.45">
      <c r="A142" t="s">
        <v>21</v>
      </c>
    </row>
    <row r="143" spans="1:2" ht="13.5" customHeight="1" x14ac:dyDescent="0.45">
      <c r="A143" t="s">
        <v>195</v>
      </c>
      <c r="B143" s="94">
        <v>32000</v>
      </c>
    </row>
    <row r="144" spans="1:2" ht="13.5" customHeight="1" x14ac:dyDescent="0.45">
      <c r="A144" t="s">
        <v>196</v>
      </c>
      <c r="B144" s="94">
        <v>29000</v>
      </c>
    </row>
    <row r="145" spans="1:26" ht="13.5" customHeight="1" x14ac:dyDescent="0.45">
      <c r="A145" t="s">
        <v>198</v>
      </c>
      <c r="B145" s="94">
        <v>25000</v>
      </c>
    </row>
    <row r="146" spans="1:26" ht="13.5" customHeight="1" x14ac:dyDescent="0.45">
      <c r="A146" t="s">
        <v>199</v>
      </c>
      <c r="B146" s="94">
        <v>22950</v>
      </c>
    </row>
    <row r="147" spans="1:26" ht="13.5" customHeight="1" x14ac:dyDescent="0.45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30" customHeight="1" x14ac:dyDescent="0.45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31.5" customHeight="1" x14ac:dyDescent="0.45">
      <c r="A149" t="s">
        <v>22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3.5" customHeight="1" x14ac:dyDescent="0.45">
      <c r="A150" t="s">
        <v>195</v>
      </c>
      <c r="B150" s="94">
        <v>31250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3.5" customHeight="1" x14ac:dyDescent="0.45">
      <c r="A151" t="s">
        <v>196</v>
      </c>
      <c r="B151" s="94">
        <v>27500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3.5" customHeight="1" x14ac:dyDescent="0.45">
      <c r="A152" t="s">
        <v>198</v>
      </c>
      <c r="B152" s="94">
        <v>25000</v>
      </c>
    </row>
    <row r="153" spans="1:26" ht="75" customHeight="1" x14ac:dyDescent="0.45">
      <c r="A153" t="s">
        <v>199</v>
      </c>
      <c r="B153" s="94">
        <v>22500</v>
      </c>
    </row>
    <row r="154" spans="1:26" ht="13.5" customHeight="1" x14ac:dyDescent="0.45"/>
    <row r="155" spans="1:26" ht="31.5" customHeight="1" x14ac:dyDescent="0.45">
      <c r="A155" t="s">
        <v>23</v>
      </c>
    </row>
    <row r="156" spans="1:26" ht="13.5" customHeight="1" x14ac:dyDescent="0.45">
      <c r="A156" t="s">
        <v>195</v>
      </c>
      <c r="B156" s="94">
        <v>33750</v>
      </c>
    </row>
    <row r="157" spans="1:26" ht="13.5" customHeight="1" x14ac:dyDescent="0.45">
      <c r="A157" t="s">
        <v>198</v>
      </c>
      <c r="B157" s="94">
        <v>23125</v>
      </c>
    </row>
    <row r="158" spans="1:26" ht="13.8" x14ac:dyDescent="0.45">
      <c r="A158" t="s">
        <v>199</v>
      </c>
      <c r="B158" s="94">
        <v>22500</v>
      </c>
    </row>
    <row r="159" spans="1:26" ht="13.5" customHeight="1" x14ac:dyDescent="0.45"/>
    <row r="160" spans="1:26" ht="31.5" customHeight="1" x14ac:dyDescent="0.45">
      <c r="A160" t="s">
        <v>24</v>
      </c>
    </row>
    <row r="161" spans="1:2" ht="13.5" customHeight="1" x14ac:dyDescent="0.45">
      <c r="A161" t="s">
        <v>195</v>
      </c>
      <c r="B161" s="94">
        <v>33750</v>
      </c>
    </row>
    <row r="162" spans="1:2" ht="60" customHeight="1" x14ac:dyDescent="0.45">
      <c r="A162" t="s">
        <v>198</v>
      </c>
      <c r="B162" s="94">
        <v>31250</v>
      </c>
    </row>
    <row r="163" spans="1:2" ht="13.5" customHeight="1" x14ac:dyDescent="0.45">
      <c r="A163" t="s">
        <v>199</v>
      </c>
      <c r="B163" s="94">
        <v>22500</v>
      </c>
    </row>
    <row r="164" spans="1:2" ht="13.5" customHeight="1" x14ac:dyDescent="0.45"/>
    <row r="165" spans="1:2" ht="31.5" customHeight="1" x14ac:dyDescent="0.45">
      <c r="A165" t="s">
        <v>25</v>
      </c>
    </row>
    <row r="166" spans="1:2" ht="60" customHeight="1" x14ac:dyDescent="0.45">
      <c r="A166" t="s">
        <v>195</v>
      </c>
      <c r="B166" s="94">
        <v>33750</v>
      </c>
    </row>
    <row r="167" spans="1:2" ht="13.5" customHeight="1" x14ac:dyDescent="0.45">
      <c r="A167" t="s">
        <v>198</v>
      </c>
      <c r="B167" s="94">
        <v>31250</v>
      </c>
    </row>
    <row r="168" spans="1:2" ht="13.5" customHeight="1" x14ac:dyDescent="0.45"/>
    <row r="169" spans="1:2" ht="31.5" customHeight="1" x14ac:dyDescent="0.45">
      <c r="A169" t="s">
        <v>26</v>
      </c>
    </row>
    <row r="170" spans="1:2" ht="13.5" customHeight="1" x14ac:dyDescent="0.45">
      <c r="A170" t="s">
        <v>200</v>
      </c>
      <c r="B170" s="94">
        <v>21150</v>
      </c>
    </row>
    <row r="171" spans="1:2" ht="60" customHeight="1" x14ac:dyDescent="0.45">
      <c r="A171" t="s">
        <v>201</v>
      </c>
      <c r="B171" s="94">
        <v>12337.5</v>
      </c>
    </row>
    <row r="172" spans="1:2" ht="13.5" customHeight="1" x14ac:dyDescent="0.45"/>
    <row r="173" spans="1:2" ht="31.5" customHeight="1" x14ac:dyDescent="0.45">
      <c r="A173" t="s">
        <v>27</v>
      </c>
    </row>
    <row r="174" spans="1:2" ht="13.5" customHeight="1" x14ac:dyDescent="0.45">
      <c r="A174" t="s">
        <v>202</v>
      </c>
      <c r="B174" s="94">
        <v>21150</v>
      </c>
    </row>
    <row r="175" spans="1:2" ht="13.5" customHeight="1" x14ac:dyDescent="0.45">
      <c r="A175" t="s">
        <v>19</v>
      </c>
      <c r="B175" s="94">
        <v>21150</v>
      </c>
    </row>
    <row r="176" spans="1:2" ht="13.8" x14ac:dyDescent="0.45">
      <c r="A176" t="s">
        <v>199</v>
      </c>
      <c r="B176" s="94">
        <v>17500</v>
      </c>
    </row>
    <row r="177" spans="1:2" ht="13.5" customHeight="1" x14ac:dyDescent="0.45"/>
    <row r="178" spans="1:2" ht="31.5" customHeight="1" x14ac:dyDescent="0.45">
      <c r="A178" t="s">
        <v>28</v>
      </c>
    </row>
    <row r="179" spans="1:2" ht="13.5" customHeight="1" x14ac:dyDescent="0.45">
      <c r="A179" t="s">
        <v>195</v>
      </c>
      <c r="B179" s="94">
        <v>21150</v>
      </c>
    </row>
    <row r="180" spans="1:2" ht="15" customHeight="1" x14ac:dyDescent="0.45">
      <c r="A180" t="s">
        <v>198</v>
      </c>
      <c r="B180" s="94">
        <v>21150</v>
      </c>
    </row>
    <row r="181" spans="1:2" ht="13.5" customHeight="1" x14ac:dyDescent="0.45">
      <c r="A181" t="s">
        <v>199</v>
      </c>
      <c r="B181" s="94">
        <v>12337.5</v>
      </c>
    </row>
    <row r="182" spans="1:2" ht="13.5" customHeight="1" x14ac:dyDescent="0.45"/>
    <row r="183" spans="1:2" ht="31.5" customHeight="1" x14ac:dyDescent="0.45">
      <c r="A183" t="s">
        <v>29</v>
      </c>
    </row>
    <row r="184" spans="1:2" ht="13.5" customHeight="1" x14ac:dyDescent="0.45">
      <c r="A184" t="s">
        <v>195</v>
      </c>
      <c r="B184" s="94">
        <v>14100</v>
      </c>
    </row>
    <row r="185" spans="1:2" ht="13.5" customHeight="1" x14ac:dyDescent="0.45">
      <c r="A185" t="s">
        <v>198</v>
      </c>
      <c r="B185" s="94">
        <v>12337.5</v>
      </c>
    </row>
    <row r="186" spans="1:2" ht="13.5" customHeight="1" x14ac:dyDescent="0.45"/>
    <row r="187" spans="1:2" ht="15.75" customHeight="1" x14ac:dyDescent="0.45">
      <c r="A187" t="s">
        <v>30</v>
      </c>
    </row>
    <row r="188" spans="1:2" ht="13.5" customHeight="1" x14ac:dyDescent="0.45">
      <c r="A188" t="s">
        <v>203</v>
      </c>
      <c r="B188" s="94">
        <v>3105.4799999999996</v>
      </c>
    </row>
    <row r="189" spans="1:2" ht="15" customHeight="1" x14ac:dyDescent="0.45">
      <c r="A189" t="s">
        <v>204</v>
      </c>
      <c r="B189" s="94">
        <v>16469.359999999997</v>
      </c>
    </row>
    <row r="190" spans="1:2" ht="13.5" customHeight="1" x14ac:dyDescent="0.45">
      <c r="A190" t="s">
        <v>205</v>
      </c>
      <c r="B190" s="94">
        <v>5456.4533333333338</v>
      </c>
    </row>
    <row r="191" spans="1:2" ht="13.5" customHeight="1" x14ac:dyDescent="0.45">
      <c r="A191" t="s">
        <v>31</v>
      </c>
      <c r="B191" s="94">
        <v>1297.8</v>
      </c>
    </row>
    <row r="192" spans="1:2" ht="13.5" customHeight="1" x14ac:dyDescent="0.45">
      <c r="A192" t="s">
        <v>32</v>
      </c>
      <c r="B192" s="94">
        <v>844.2</v>
      </c>
    </row>
    <row r="193" spans="1:2" ht="13.5" customHeight="1" x14ac:dyDescent="0.45">
      <c r="A193" t="s">
        <v>33</v>
      </c>
      <c r="B193" s="94">
        <v>876.39999999999986</v>
      </c>
    </row>
    <row r="194" spans="1:2" ht="13.5" customHeight="1" x14ac:dyDescent="0.45">
      <c r="A194" t="s">
        <v>206</v>
      </c>
      <c r="B194" s="94">
        <v>1329.9999999999998</v>
      </c>
    </row>
    <row r="195" spans="1:2" ht="13.5" customHeight="1" x14ac:dyDescent="0.45">
      <c r="A195" t="s">
        <v>207</v>
      </c>
      <c r="B195" s="94">
        <v>229.70779999999996</v>
      </c>
    </row>
    <row r="196" spans="1:2" ht="15" customHeight="1" x14ac:dyDescent="0.45">
      <c r="A196" t="s">
        <v>34</v>
      </c>
      <c r="B196" s="94">
        <v>43819.999999999993</v>
      </c>
    </row>
    <row r="197" spans="1:2" ht="13.5" customHeight="1" x14ac:dyDescent="0.45">
      <c r="A197" t="s">
        <v>35</v>
      </c>
      <c r="B197" s="94">
        <v>165620</v>
      </c>
    </row>
    <row r="198" spans="1:2" ht="13.5" customHeight="1" x14ac:dyDescent="0.45">
      <c r="A198" t="s">
        <v>208</v>
      </c>
      <c r="B198" s="94">
        <v>438.19999999999993</v>
      </c>
    </row>
    <row r="199" spans="1:2" ht="13.5" customHeight="1" x14ac:dyDescent="0.45">
      <c r="A199" t="s">
        <v>36</v>
      </c>
      <c r="B199" s="94">
        <v>4356.2119999999995</v>
      </c>
    </row>
    <row r="200" spans="1:2" ht="13.5" customHeight="1" x14ac:dyDescent="0.45">
      <c r="A200" t="s">
        <v>37</v>
      </c>
      <c r="B200" s="94">
        <v>4467.8059999999996</v>
      </c>
    </row>
    <row r="201" spans="1:2" ht="13.5" customHeight="1" x14ac:dyDescent="0.45">
      <c r="A201" t="s">
        <v>38</v>
      </c>
      <c r="B201" s="94">
        <v>4792.8440000000001</v>
      </c>
    </row>
    <row r="202" spans="1:2" ht="13.5" customHeight="1" x14ac:dyDescent="0.45">
      <c r="A202" t="s">
        <v>39</v>
      </c>
      <c r="B202" s="94">
        <v>30239.999999999996</v>
      </c>
    </row>
    <row r="203" spans="1:2" ht="13.5" customHeight="1" x14ac:dyDescent="0.45">
      <c r="A203" t="s">
        <v>40</v>
      </c>
      <c r="B203" s="94">
        <v>30239.999999999996</v>
      </c>
    </row>
    <row r="204" spans="1:2" ht="13.5" customHeight="1" x14ac:dyDescent="0.45">
      <c r="A204" t="s">
        <v>41</v>
      </c>
      <c r="B204" s="94">
        <v>11438</v>
      </c>
    </row>
    <row r="205" spans="1:2" ht="13.5" customHeight="1" x14ac:dyDescent="0.45">
      <c r="A205" t="s">
        <v>42</v>
      </c>
      <c r="B205" s="94">
        <v>3580.4999999999991</v>
      </c>
    </row>
    <row r="206" spans="1:2" ht="13.5" customHeight="1" x14ac:dyDescent="0.45">
      <c r="A206" t="s">
        <v>43</v>
      </c>
      <c r="B206" s="94">
        <v>18199.999999999996</v>
      </c>
    </row>
    <row r="207" spans="1:2" ht="15" customHeight="1" x14ac:dyDescent="0.45">
      <c r="A207" t="s">
        <v>44</v>
      </c>
      <c r="B207" s="94">
        <v>20000</v>
      </c>
    </row>
    <row r="208" spans="1:2" ht="13.5" customHeight="1" x14ac:dyDescent="0.45">
      <c r="A208" t="s">
        <v>45</v>
      </c>
      <c r="B208" s="94">
        <v>0</v>
      </c>
    </row>
    <row r="209" spans="1:2" ht="13.5" customHeight="1" x14ac:dyDescent="0.45">
      <c r="A209" t="s">
        <v>46</v>
      </c>
      <c r="B209" s="94">
        <v>3541.9999999999995</v>
      </c>
    </row>
    <row r="210" spans="1:2" ht="13.5" customHeight="1" x14ac:dyDescent="0.45">
      <c r="A210" t="s">
        <v>47</v>
      </c>
      <c r="B210" s="94">
        <v>12598.599999999999</v>
      </c>
    </row>
    <row r="211" spans="1:2" ht="13.5" customHeight="1" x14ac:dyDescent="0.45">
      <c r="A211" t="s">
        <v>48</v>
      </c>
      <c r="B211" s="94">
        <v>14069.999999999998</v>
      </c>
    </row>
    <row r="212" spans="1:2" ht="13.5" customHeight="1" x14ac:dyDescent="0.45">
      <c r="A212" t="s">
        <v>49</v>
      </c>
      <c r="B212" s="94">
        <v>4547.0459999999994</v>
      </c>
    </row>
    <row r="213" spans="1:2" ht="13.5" customHeight="1" x14ac:dyDescent="0.45"/>
    <row r="214" spans="1:2" ht="15.75" customHeight="1" x14ac:dyDescent="0.45">
      <c r="A214" t="s">
        <v>50</v>
      </c>
    </row>
    <row r="215" spans="1:2" ht="13.5" customHeight="1" x14ac:dyDescent="0.45">
      <c r="A215" s="96" t="s">
        <v>181</v>
      </c>
      <c r="B215" s="97">
        <v>3960</v>
      </c>
    </row>
    <row r="216" spans="1:2" ht="13.5" customHeight="1" x14ac:dyDescent="0.45">
      <c r="A216" s="96" t="s">
        <v>182</v>
      </c>
      <c r="B216" s="97">
        <v>10170</v>
      </c>
    </row>
    <row r="217" spans="1:2" ht="13.5" customHeight="1" x14ac:dyDescent="0.45">
      <c r="A217" s="96" t="s">
        <v>183</v>
      </c>
      <c r="B217" s="97">
        <v>4090</v>
      </c>
    </row>
    <row r="218" spans="1:2" ht="13.5" customHeight="1" x14ac:dyDescent="0.45">
      <c r="A218" s="96" t="s">
        <v>184</v>
      </c>
      <c r="B218" s="97">
        <v>3740</v>
      </c>
    </row>
    <row r="219" spans="1:2" ht="13.5" customHeight="1" x14ac:dyDescent="0.45"/>
    <row r="220" spans="1:2" ht="13.5" customHeight="1" x14ac:dyDescent="0.45"/>
    <row r="221" spans="1:2" ht="15.75" customHeight="1" x14ac:dyDescent="0.45">
      <c r="A221" t="s">
        <v>51</v>
      </c>
    </row>
    <row r="222" spans="1:2" ht="13.5" customHeight="1" x14ac:dyDescent="0.45">
      <c r="A222" t="s">
        <v>52</v>
      </c>
      <c r="B222">
        <v>24</v>
      </c>
    </row>
    <row r="223" spans="1:2" ht="13.5" customHeight="1" x14ac:dyDescent="0.45">
      <c r="A223" t="s">
        <v>53</v>
      </c>
      <c r="B223">
        <v>5</v>
      </c>
    </row>
    <row r="224" spans="1:2" ht="13.5" customHeight="1" x14ac:dyDescent="0.45">
      <c r="A224" t="s">
        <v>54</v>
      </c>
      <c r="B224" s="98">
        <v>168</v>
      </c>
    </row>
    <row r="225" spans="1:2" ht="13.5" customHeight="1" x14ac:dyDescent="0.45">
      <c r="A225" t="s">
        <v>55</v>
      </c>
      <c r="B225" s="98">
        <v>906.4</v>
      </c>
    </row>
    <row r="226" spans="1:2" ht="13.5" customHeight="1" x14ac:dyDescent="0.45"/>
    <row r="227" spans="1:2" ht="13.5" customHeight="1" x14ac:dyDescent="0.45"/>
    <row r="228" spans="1:2" ht="13.5" customHeight="1" x14ac:dyDescent="0.45"/>
    <row r="229" spans="1:2" ht="13.5" customHeight="1" x14ac:dyDescent="0.45"/>
    <row r="230" spans="1:2" ht="13.5" customHeight="1" x14ac:dyDescent="0.45"/>
    <row r="231" spans="1:2" ht="13.5" customHeight="1" x14ac:dyDescent="0.45"/>
    <row r="232" spans="1:2" ht="13.5" customHeight="1" x14ac:dyDescent="0.45"/>
    <row r="233" spans="1:2" ht="13.5" customHeight="1" x14ac:dyDescent="0.45"/>
    <row r="234" spans="1:2" ht="13.5" customHeight="1" x14ac:dyDescent="0.45"/>
    <row r="235" spans="1:2" ht="13.5" customHeight="1" x14ac:dyDescent="0.45"/>
    <row r="236" spans="1:2" ht="13.5" customHeight="1" x14ac:dyDescent="0.45"/>
    <row r="237" spans="1:2" ht="13.5" customHeight="1" x14ac:dyDescent="0.45"/>
    <row r="238" spans="1:2" ht="13.5" customHeight="1" x14ac:dyDescent="0.45"/>
    <row r="239" spans="1:2" ht="13.5" customHeight="1" x14ac:dyDescent="0.45"/>
    <row r="240" spans="1:2" ht="13.5" customHeight="1" x14ac:dyDescent="0.45"/>
    <row r="241" ht="13.5" customHeight="1" x14ac:dyDescent="0.45"/>
    <row r="242" ht="13.5" customHeight="1" x14ac:dyDescent="0.45"/>
    <row r="243" ht="13.5" customHeight="1" x14ac:dyDescent="0.45"/>
    <row r="244" ht="13.5" customHeight="1" x14ac:dyDescent="0.45"/>
    <row r="245" ht="13.5" customHeight="1" x14ac:dyDescent="0.45"/>
    <row r="246" ht="13.5" customHeight="1" x14ac:dyDescent="0.45"/>
    <row r="247" ht="13.5" customHeight="1" x14ac:dyDescent="0.45"/>
    <row r="248" ht="13.5" customHeight="1" x14ac:dyDescent="0.45"/>
    <row r="249" ht="13.5" customHeight="1" x14ac:dyDescent="0.45"/>
    <row r="250" ht="13.5" customHeight="1" x14ac:dyDescent="0.45"/>
    <row r="251" ht="13.5" customHeight="1" x14ac:dyDescent="0.45"/>
    <row r="252" ht="13.5" customHeight="1" x14ac:dyDescent="0.45"/>
    <row r="253" ht="13.5" customHeight="1" x14ac:dyDescent="0.45"/>
    <row r="254" ht="13.5" customHeight="1" x14ac:dyDescent="0.45"/>
    <row r="255" ht="13.5" customHeight="1" x14ac:dyDescent="0.45"/>
    <row r="256" ht="13.5" customHeight="1" x14ac:dyDescent="0.45"/>
    <row r="257" ht="13.5" customHeight="1" x14ac:dyDescent="0.45"/>
    <row r="258" ht="13.5" customHeight="1" x14ac:dyDescent="0.45"/>
    <row r="259" ht="13.5" customHeight="1" x14ac:dyDescent="0.45"/>
    <row r="260" ht="13.5" customHeight="1" x14ac:dyDescent="0.45"/>
    <row r="261" ht="13.5" customHeight="1" x14ac:dyDescent="0.45"/>
    <row r="262" ht="13.5" customHeight="1" x14ac:dyDescent="0.45"/>
    <row r="263" ht="13.5" customHeight="1" x14ac:dyDescent="0.45"/>
    <row r="264" ht="13.5" customHeight="1" x14ac:dyDescent="0.45"/>
    <row r="265" ht="13.5" customHeight="1" x14ac:dyDescent="0.45"/>
    <row r="266" ht="13.5" customHeight="1" x14ac:dyDescent="0.45"/>
    <row r="267" ht="13.5" customHeight="1" x14ac:dyDescent="0.45"/>
    <row r="268" ht="13.5" customHeight="1" x14ac:dyDescent="0.45"/>
    <row r="269" ht="13.5" customHeight="1" x14ac:dyDescent="0.45"/>
    <row r="270" ht="13.5" customHeight="1" x14ac:dyDescent="0.45"/>
    <row r="271" ht="13.5" customHeight="1" x14ac:dyDescent="0.45"/>
    <row r="272" ht="13.5" customHeight="1" x14ac:dyDescent="0.45"/>
    <row r="273" ht="13.5" customHeight="1" x14ac:dyDescent="0.45"/>
    <row r="274" ht="13.5" customHeight="1" x14ac:dyDescent="0.45"/>
    <row r="275" ht="13.5" customHeight="1" x14ac:dyDescent="0.45"/>
    <row r="276" ht="13.5" customHeight="1" x14ac:dyDescent="0.45"/>
    <row r="277" ht="13.5" customHeight="1" x14ac:dyDescent="0.45"/>
    <row r="278" ht="13.5" customHeight="1" x14ac:dyDescent="0.45"/>
    <row r="279" ht="13.5" customHeight="1" x14ac:dyDescent="0.45"/>
    <row r="280" ht="13.5" customHeight="1" x14ac:dyDescent="0.45"/>
    <row r="281" ht="13.5" customHeight="1" x14ac:dyDescent="0.45"/>
    <row r="282" ht="13.5" customHeight="1" x14ac:dyDescent="0.45"/>
    <row r="283" ht="13.5" customHeight="1" x14ac:dyDescent="0.45"/>
    <row r="284" ht="13.5" customHeight="1" x14ac:dyDescent="0.45"/>
    <row r="285" ht="13.5" customHeight="1" x14ac:dyDescent="0.45"/>
    <row r="286" ht="13.5" customHeight="1" x14ac:dyDescent="0.45"/>
    <row r="287" ht="13.5" customHeight="1" x14ac:dyDescent="0.45"/>
    <row r="288" ht="13.5" customHeight="1" x14ac:dyDescent="0.45"/>
    <row r="289" ht="13.5" customHeight="1" x14ac:dyDescent="0.45"/>
    <row r="290" ht="13.5" customHeight="1" x14ac:dyDescent="0.45"/>
    <row r="291" ht="13.5" customHeight="1" x14ac:dyDescent="0.45"/>
    <row r="292" ht="13.5" customHeight="1" x14ac:dyDescent="0.45"/>
    <row r="293" ht="13.5" customHeight="1" x14ac:dyDescent="0.45"/>
    <row r="294" ht="13.5" customHeight="1" x14ac:dyDescent="0.45"/>
    <row r="295" ht="13.5" customHeight="1" x14ac:dyDescent="0.45"/>
    <row r="296" ht="13.5" customHeight="1" x14ac:dyDescent="0.45"/>
    <row r="297" ht="13.5" customHeight="1" x14ac:dyDescent="0.45"/>
    <row r="298" ht="13.5" customHeight="1" x14ac:dyDescent="0.45"/>
    <row r="299" ht="13.5" customHeight="1" x14ac:dyDescent="0.45"/>
    <row r="300" ht="13.5" customHeight="1" x14ac:dyDescent="0.45"/>
    <row r="301" ht="13.5" customHeight="1" x14ac:dyDescent="0.45"/>
    <row r="302" ht="13.5" customHeight="1" x14ac:dyDescent="0.45"/>
    <row r="303" ht="13.5" customHeight="1" x14ac:dyDescent="0.45"/>
    <row r="304" ht="13.5" customHeight="1" x14ac:dyDescent="0.45"/>
    <row r="305" ht="13.5" customHeight="1" x14ac:dyDescent="0.45"/>
    <row r="306" ht="13.5" customHeight="1" x14ac:dyDescent="0.45"/>
    <row r="307" ht="13.5" customHeight="1" x14ac:dyDescent="0.45"/>
    <row r="308" ht="13.5" customHeight="1" x14ac:dyDescent="0.45"/>
    <row r="309" ht="13.5" customHeight="1" x14ac:dyDescent="0.45"/>
    <row r="310" ht="13.5" customHeight="1" x14ac:dyDescent="0.45"/>
    <row r="311" ht="13.5" customHeight="1" x14ac:dyDescent="0.45"/>
    <row r="312" ht="13.5" customHeight="1" x14ac:dyDescent="0.45"/>
    <row r="313" ht="13.5" customHeight="1" x14ac:dyDescent="0.45"/>
    <row r="314" ht="13.5" customHeight="1" x14ac:dyDescent="0.45"/>
    <row r="315" ht="13.5" customHeight="1" x14ac:dyDescent="0.45"/>
    <row r="316" ht="13.5" customHeight="1" x14ac:dyDescent="0.45"/>
    <row r="317" ht="13.5" customHeight="1" x14ac:dyDescent="0.45"/>
    <row r="318" ht="13.5" customHeight="1" x14ac:dyDescent="0.45"/>
    <row r="319" ht="13.5" customHeight="1" x14ac:dyDescent="0.45"/>
    <row r="320" ht="13.5" customHeight="1" x14ac:dyDescent="0.45"/>
    <row r="321" ht="13.5" customHeight="1" x14ac:dyDescent="0.45"/>
    <row r="322" ht="13.5" customHeight="1" x14ac:dyDescent="0.45"/>
    <row r="323" ht="13.5" customHeight="1" x14ac:dyDescent="0.45"/>
    <row r="324" ht="13.5" customHeight="1" x14ac:dyDescent="0.45"/>
    <row r="325" ht="13.5" customHeight="1" x14ac:dyDescent="0.45"/>
    <row r="326" ht="13.5" customHeight="1" x14ac:dyDescent="0.45"/>
    <row r="327" ht="13.5" customHeight="1" x14ac:dyDescent="0.45"/>
    <row r="328" ht="13.5" customHeight="1" x14ac:dyDescent="0.45"/>
    <row r="329" ht="13.5" customHeight="1" x14ac:dyDescent="0.45"/>
    <row r="330" ht="13.5" customHeight="1" x14ac:dyDescent="0.45"/>
    <row r="331" ht="13.5" customHeight="1" x14ac:dyDescent="0.45"/>
    <row r="332" ht="13.5" customHeight="1" x14ac:dyDescent="0.45"/>
    <row r="333" ht="13.5" customHeight="1" x14ac:dyDescent="0.45"/>
    <row r="334" ht="13.5" customHeight="1" x14ac:dyDescent="0.45"/>
    <row r="335" ht="13.5" customHeight="1" x14ac:dyDescent="0.45"/>
    <row r="336" ht="13.5" customHeight="1" x14ac:dyDescent="0.45"/>
    <row r="337" ht="13.5" customHeight="1" x14ac:dyDescent="0.45"/>
    <row r="338" ht="13.5" customHeight="1" x14ac:dyDescent="0.45"/>
    <row r="339" ht="13.5" customHeight="1" x14ac:dyDescent="0.45"/>
    <row r="340" ht="13.5" customHeight="1" x14ac:dyDescent="0.45"/>
    <row r="341" ht="13.5" customHeight="1" x14ac:dyDescent="0.45"/>
    <row r="342" ht="13.5" customHeight="1" x14ac:dyDescent="0.45"/>
    <row r="343" ht="13.5" customHeight="1" x14ac:dyDescent="0.45"/>
    <row r="344" ht="13.5" customHeight="1" x14ac:dyDescent="0.45"/>
    <row r="345" ht="13.5" customHeight="1" x14ac:dyDescent="0.45"/>
    <row r="346" ht="13.5" customHeight="1" x14ac:dyDescent="0.45"/>
    <row r="347" ht="13.5" customHeight="1" x14ac:dyDescent="0.45"/>
    <row r="348" ht="13.5" customHeight="1" x14ac:dyDescent="0.45"/>
    <row r="349" ht="13.5" customHeight="1" x14ac:dyDescent="0.45"/>
    <row r="350" ht="13.5" customHeight="1" x14ac:dyDescent="0.45"/>
    <row r="351" ht="13.5" customHeight="1" x14ac:dyDescent="0.45"/>
    <row r="352" ht="13.5" customHeight="1" x14ac:dyDescent="0.45"/>
    <row r="353" ht="13.5" customHeight="1" x14ac:dyDescent="0.45"/>
    <row r="354" ht="13.5" customHeight="1" x14ac:dyDescent="0.45"/>
    <row r="355" ht="13.5" customHeight="1" x14ac:dyDescent="0.45"/>
    <row r="356" ht="13.5" customHeight="1" x14ac:dyDescent="0.45"/>
    <row r="357" ht="13.5" customHeight="1" x14ac:dyDescent="0.45"/>
    <row r="358" ht="13.5" customHeight="1" x14ac:dyDescent="0.45"/>
    <row r="359" ht="13.5" customHeight="1" x14ac:dyDescent="0.45"/>
    <row r="360" ht="13.5" customHeight="1" x14ac:dyDescent="0.45"/>
    <row r="361" ht="13.5" customHeight="1" x14ac:dyDescent="0.45"/>
    <row r="362" ht="13.5" customHeight="1" x14ac:dyDescent="0.45"/>
    <row r="363" ht="13.5" customHeight="1" x14ac:dyDescent="0.45"/>
    <row r="364" ht="13.5" customHeight="1" x14ac:dyDescent="0.45"/>
    <row r="365" ht="13.5" customHeight="1" x14ac:dyDescent="0.45"/>
    <row r="366" ht="13.5" customHeight="1" x14ac:dyDescent="0.45"/>
    <row r="367" ht="13.5" customHeight="1" x14ac:dyDescent="0.45"/>
    <row r="368" ht="13.5" customHeight="1" x14ac:dyDescent="0.45"/>
    <row r="369" ht="13.5" customHeight="1" x14ac:dyDescent="0.45"/>
    <row r="370" ht="13.5" customHeight="1" x14ac:dyDescent="0.45"/>
    <row r="371" ht="13.5" customHeight="1" x14ac:dyDescent="0.45"/>
    <row r="372" ht="13.5" customHeight="1" x14ac:dyDescent="0.45"/>
    <row r="373" ht="13.5" customHeight="1" x14ac:dyDescent="0.45"/>
    <row r="374" ht="13.5" customHeight="1" x14ac:dyDescent="0.45"/>
    <row r="375" ht="13.5" customHeight="1" x14ac:dyDescent="0.45"/>
    <row r="376" ht="13.5" customHeight="1" x14ac:dyDescent="0.45"/>
    <row r="377" ht="13.5" customHeight="1" x14ac:dyDescent="0.45"/>
    <row r="378" ht="13.5" customHeight="1" x14ac:dyDescent="0.45"/>
    <row r="379" ht="13.5" customHeight="1" x14ac:dyDescent="0.45"/>
    <row r="380" ht="13.5" customHeight="1" x14ac:dyDescent="0.45"/>
    <row r="381" ht="13.5" customHeight="1" x14ac:dyDescent="0.45"/>
    <row r="382" ht="13.5" customHeight="1" x14ac:dyDescent="0.45"/>
    <row r="383" ht="13.5" customHeight="1" x14ac:dyDescent="0.45"/>
    <row r="384" ht="13.5" customHeight="1" x14ac:dyDescent="0.45"/>
    <row r="385" ht="13.5" customHeight="1" x14ac:dyDescent="0.45"/>
    <row r="386" ht="13.5" customHeight="1" x14ac:dyDescent="0.45"/>
    <row r="387" ht="13.5" customHeight="1" x14ac:dyDescent="0.45"/>
    <row r="388" ht="13.5" customHeight="1" x14ac:dyDescent="0.45"/>
    <row r="389" ht="13.5" customHeight="1" x14ac:dyDescent="0.45"/>
    <row r="390" ht="13.5" customHeight="1" x14ac:dyDescent="0.45"/>
    <row r="391" ht="13.5" customHeight="1" x14ac:dyDescent="0.45"/>
    <row r="392" ht="13.5" customHeight="1" x14ac:dyDescent="0.45"/>
    <row r="393" ht="13.5" customHeight="1" x14ac:dyDescent="0.45"/>
    <row r="394" ht="13.5" customHeight="1" x14ac:dyDescent="0.45"/>
    <row r="395" ht="13.5" customHeight="1" x14ac:dyDescent="0.45"/>
    <row r="396" ht="13.5" customHeight="1" x14ac:dyDescent="0.45"/>
    <row r="397" ht="13.5" customHeight="1" x14ac:dyDescent="0.45"/>
    <row r="398" ht="13.5" customHeight="1" x14ac:dyDescent="0.45"/>
    <row r="399" ht="13.5" customHeight="1" x14ac:dyDescent="0.45"/>
    <row r="400" ht="13.5" customHeight="1" x14ac:dyDescent="0.45"/>
    <row r="401" ht="13.5" customHeight="1" x14ac:dyDescent="0.45"/>
    <row r="402" ht="13.5" customHeight="1" x14ac:dyDescent="0.45"/>
    <row r="403" ht="13.5" customHeight="1" x14ac:dyDescent="0.45"/>
    <row r="404" ht="13.5" customHeight="1" x14ac:dyDescent="0.45"/>
    <row r="405" ht="13.5" customHeight="1" x14ac:dyDescent="0.45"/>
    <row r="406" ht="13.5" customHeight="1" x14ac:dyDescent="0.45"/>
    <row r="407" ht="13.5" customHeight="1" x14ac:dyDescent="0.45"/>
    <row r="408" ht="13.5" customHeight="1" x14ac:dyDescent="0.45"/>
    <row r="409" ht="13.5" customHeight="1" x14ac:dyDescent="0.45"/>
    <row r="410" ht="13.5" customHeight="1" x14ac:dyDescent="0.45"/>
    <row r="411" ht="13.5" customHeight="1" x14ac:dyDescent="0.45"/>
    <row r="412" ht="13.5" customHeight="1" x14ac:dyDescent="0.45"/>
    <row r="413" ht="13.5" customHeight="1" x14ac:dyDescent="0.45"/>
    <row r="414" ht="13.5" customHeight="1" x14ac:dyDescent="0.45"/>
    <row r="415" ht="13.5" customHeight="1" x14ac:dyDescent="0.45"/>
    <row r="416" ht="13.5" customHeight="1" x14ac:dyDescent="0.45"/>
    <row r="417" ht="13.5" customHeight="1" x14ac:dyDescent="0.45"/>
    <row r="418" ht="13.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  <row r="1001" ht="15.75" customHeight="1" x14ac:dyDescent="0.45"/>
    <row r="1002" ht="15.75" customHeight="1" x14ac:dyDescent="0.45"/>
    <row r="1003" ht="15.75" customHeight="1" x14ac:dyDescent="0.45"/>
    <row r="1004" ht="15.75" customHeight="1" x14ac:dyDescent="0.45"/>
    <row r="1005" ht="15.75" customHeight="1" x14ac:dyDescent="0.45"/>
    <row r="1006" ht="15.75" customHeight="1" x14ac:dyDescent="0.45"/>
    <row r="1007" ht="15.75" customHeight="1" x14ac:dyDescent="0.45"/>
    <row r="1008" ht="15.75" customHeight="1" x14ac:dyDescent="0.45"/>
    <row r="1009" ht="15.75" customHeight="1" x14ac:dyDescent="0.45"/>
    <row r="1010" ht="15.75" customHeight="1" x14ac:dyDescent="0.45"/>
    <row r="1011" ht="15.75" customHeight="1" x14ac:dyDescent="0.45"/>
    <row r="1012" ht="15.75" customHeight="1" x14ac:dyDescent="0.45"/>
    <row r="1013" ht="15.75" customHeight="1" x14ac:dyDescent="0.45"/>
    <row r="1014" ht="15.75" customHeight="1" x14ac:dyDescent="0.45"/>
    <row r="1015" ht="15.75" customHeight="1" x14ac:dyDescent="0.45"/>
    <row r="1016" ht="15.75" customHeight="1" x14ac:dyDescent="0.45"/>
    <row r="1017" ht="15.75" customHeight="1" x14ac:dyDescent="0.45"/>
    <row r="1018" ht="15.75" customHeight="1" x14ac:dyDescent="0.45"/>
    <row r="1019" ht="15.75" customHeight="1" x14ac:dyDescent="0.45"/>
    <row r="1020" ht="15.75" customHeight="1" x14ac:dyDescent="0.45"/>
    <row r="1021" ht="15.75" customHeight="1" x14ac:dyDescent="0.45"/>
    <row r="1022" ht="15.75" customHeight="1" x14ac:dyDescent="0.45"/>
    <row r="1023" ht="15.75" customHeight="1" x14ac:dyDescent="0.45"/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2060"/>
  </sheetPr>
  <dimension ref="A1:Z1000"/>
  <sheetViews>
    <sheetView workbookViewId="0">
      <selection activeCell="I9" sqref="I9"/>
    </sheetView>
  </sheetViews>
  <sheetFormatPr baseColWidth="10" defaultColWidth="12.6171875" defaultRowHeight="15" customHeight="1" x14ac:dyDescent="0.45"/>
  <cols>
    <col min="1" max="1" width="19.234375" customWidth="1"/>
    <col min="2" max="2" width="28.234375" customWidth="1"/>
    <col min="3" max="4" width="9.37890625" customWidth="1"/>
    <col min="5" max="5" width="12.47265625" customWidth="1"/>
    <col min="6" max="6" width="16.76171875" customWidth="1"/>
    <col min="7" max="7" width="13.140625" customWidth="1"/>
    <col min="8" max="8" width="9.37890625" customWidth="1"/>
    <col min="9" max="9" width="15.85546875" customWidth="1"/>
    <col min="10" max="10" width="17.47265625" customWidth="1"/>
    <col min="11" max="11" width="5.76171875" customWidth="1"/>
    <col min="12" max="12" width="15.234375" customWidth="1"/>
    <col min="13" max="13" width="14.47265625" customWidth="1"/>
  </cols>
  <sheetData>
    <row r="1" spans="1:26" ht="14.25" customHeight="1" x14ac:dyDescent="0.55000000000000004">
      <c r="A1" s="3"/>
      <c r="B1" s="1" t="s">
        <v>56</v>
      </c>
      <c r="C1" s="1" t="s">
        <v>57</v>
      </c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55000000000000004">
      <c r="A2" s="3"/>
      <c r="B2" s="1" t="s">
        <v>58</v>
      </c>
      <c r="C2" s="4">
        <v>180</v>
      </c>
      <c r="D2" s="1"/>
      <c r="E2" s="1"/>
      <c r="F2" s="1"/>
      <c r="G2" s="1"/>
      <c r="H2" s="2"/>
      <c r="I2" s="5" t="s">
        <v>59</v>
      </c>
      <c r="J2" s="6"/>
      <c r="L2" s="7" t="s">
        <v>60</v>
      </c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55000000000000004">
      <c r="A3" s="9" t="s">
        <v>61</v>
      </c>
      <c r="B3" s="10" t="s">
        <v>30</v>
      </c>
      <c r="C3" s="11" t="s">
        <v>62</v>
      </c>
      <c r="D3" s="11" t="s">
        <v>63</v>
      </c>
      <c r="E3" s="11" t="s">
        <v>64</v>
      </c>
      <c r="F3" s="12" t="s">
        <v>65</v>
      </c>
      <c r="G3" s="9" t="s">
        <v>66</v>
      </c>
      <c r="H3" s="2"/>
      <c r="I3" s="13" t="s">
        <v>67</v>
      </c>
      <c r="J3" s="14" t="s">
        <v>68</v>
      </c>
      <c r="K3" s="4"/>
      <c r="L3" s="15">
        <f>SUMIFS(G4:G11,B4:B11,J3)</f>
        <v>1178010.504</v>
      </c>
      <c r="M3" s="16" t="s">
        <v>69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55000000000000004">
      <c r="A4" s="17" t="s">
        <v>70</v>
      </c>
      <c r="B4" s="18" t="s">
        <v>68</v>
      </c>
      <c r="C4" s="19" t="s">
        <v>71</v>
      </c>
      <c r="D4" s="19">
        <f t="shared" ref="D4:D11" si="0">$C$2/10</f>
        <v>18</v>
      </c>
      <c r="E4" s="20">
        <f>'PRECIOS TODOS'!B4</f>
        <v>65445.027999999998</v>
      </c>
      <c r="F4" s="20">
        <f t="shared" ref="F4:F33" si="1">D4*E4</f>
        <v>1178010.504</v>
      </c>
      <c r="G4" s="21">
        <f t="shared" ref="G4:G11" si="2">F4</f>
        <v>1178010.504</v>
      </c>
      <c r="H4" s="2"/>
      <c r="I4" s="13" t="s">
        <v>72</v>
      </c>
      <c r="J4" s="14" t="s">
        <v>106</v>
      </c>
      <c r="K4" s="4"/>
      <c r="L4" s="22">
        <f>SUMIFS(F22:F33,A22:A33,J4)</f>
        <v>1110000</v>
      </c>
      <c r="M4" s="22">
        <f>G12+G43</f>
        <v>5688371.6399999997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55000000000000004">
      <c r="A5" s="23" t="s">
        <v>70</v>
      </c>
      <c r="B5" s="24" t="s">
        <v>74</v>
      </c>
      <c r="C5" s="25" t="s">
        <v>71</v>
      </c>
      <c r="D5" s="25">
        <f t="shared" si="0"/>
        <v>18</v>
      </c>
      <c r="E5" s="26">
        <f>'PRECIOS TODOS'!B5</f>
        <v>80651.34</v>
      </c>
      <c r="F5" s="26">
        <f t="shared" si="1"/>
        <v>1451724.1199999999</v>
      </c>
      <c r="G5" s="27">
        <f t="shared" si="2"/>
        <v>1451724.1199999999</v>
      </c>
      <c r="H5" s="2"/>
      <c r="I5" s="13" t="s">
        <v>75</v>
      </c>
      <c r="J5" s="28" t="s">
        <v>111</v>
      </c>
      <c r="K5" s="29"/>
      <c r="L5" s="22">
        <f>SUMIFS(F34:F42,A34:A42,J5)</f>
        <v>997919.99999999988</v>
      </c>
      <c r="M5" s="3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55000000000000004">
      <c r="A6" s="23" t="s">
        <v>70</v>
      </c>
      <c r="B6" s="24" t="s">
        <v>77</v>
      </c>
      <c r="C6" s="25" t="s">
        <v>71</v>
      </c>
      <c r="D6" s="25">
        <f t="shared" si="0"/>
        <v>18</v>
      </c>
      <c r="E6" s="26">
        <f>'PRECIOS TODOS'!B7</f>
        <v>99041.403999999995</v>
      </c>
      <c r="F6" s="26">
        <f t="shared" si="1"/>
        <v>1782745.2719999999</v>
      </c>
      <c r="G6" s="27">
        <f t="shared" si="2"/>
        <v>1782745.2719999999</v>
      </c>
      <c r="H6" s="2"/>
      <c r="I6" s="13" t="s">
        <v>78</v>
      </c>
      <c r="J6" s="14">
        <v>0</v>
      </c>
      <c r="K6" s="4"/>
      <c r="L6" s="22">
        <f>G20*J6</f>
        <v>0</v>
      </c>
      <c r="M6" s="3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55000000000000004">
      <c r="A7" s="23" t="s">
        <v>70</v>
      </c>
      <c r="B7" s="24" t="s">
        <v>79</v>
      </c>
      <c r="C7" s="25" t="s">
        <v>71</v>
      </c>
      <c r="D7" s="25">
        <f t="shared" si="0"/>
        <v>18</v>
      </c>
      <c r="E7" s="26">
        <f>'PRECIOS TODOS'!B8</f>
        <v>115550.16</v>
      </c>
      <c r="F7" s="26">
        <f t="shared" si="1"/>
        <v>2079902.8800000001</v>
      </c>
      <c r="G7" s="27">
        <f t="shared" si="2"/>
        <v>2079902.8800000001</v>
      </c>
      <c r="H7" s="2"/>
      <c r="I7" s="13" t="s">
        <v>80</v>
      </c>
      <c r="J7" s="28">
        <f>SUM(L3:L6)+M4</f>
        <v>8974302.1439999994</v>
      </c>
      <c r="K7" s="29"/>
      <c r="L7" s="30"/>
      <c r="M7" s="3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thickBot="1" x14ac:dyDescent="0.6">
      <c r="A8" s="23" t="s">
        <v>70</v>
      </c>
      <c r="B8" s="24" t="s">
        <v>81</v>
      </c>
      <c r="C8" s="25" t="s">
        <v>71</v>
      </c>
      <c r="D8" s="25">
        <f t="shared" si="0"/>
        <v>18</v>
      </c>
      <c r="E8" s="26">
        <f>'PRECIOS TODOS'!B9</f>
        <v>100199.132</v>
      </c>
      <c r="F8" s="26">
        <f t="shared" si="1"/>
        <v>1803584.3759999999</v>
      </c>
      <c r="G8" s="27">
        <f t="shared" si="2"/>
        <v>1803584.3759999999</v>
      </c>
      <c r="H8" s="2"/>
      <c r="I8" s="79" t="s">
        <v>82</v>
      </c>
      <c r="J8" s="80">
        <f>J7/C2</f>
        <v>49857.234133333332</v>
      </c>
      <c r="K8" s="29"/>
      <c r="L8" s="31"/>
      <c r="M8" s="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55000000000000004">
      <c r="A9" s="23" t="s">
        <v>70</v>
      </c>
      <c r="B9" s="24" t="s">
        <v>83</v>
      </c>
      <c r="C9" s="25" t="s">
        <v>71</v>
      </c>
      <c r="D9" s="25">
        <f t="shared" si="0"/>
        <v>18</v>
      </c>
      <c r="E9" s="26">
        <f>'PRECIOS TODOS'!B10</f>
        <v>110796.796</v>
      </c>
      <c r="F9" s="26">
        <f t="shared" si="1"/>
        <v>1994342.328</v>
      </c>
      <c r="G9" s="27">
        <f t="shared" si="2"/>
        <v>1994342.328</v>
      </c>
      <c r="H9" s="2"/>
      <c r="I9" s="13" t="s">
        <v>210</v>
      </c>
      <c r="J9" s="28">
        <f>J8*130%</f>
        <v>64814.404373333331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55000000000000004">
      <c r="A10" s="23" t="s">
        <v>70</v>
      </c>
      <c r="B10" s="24" t="s">
        <v>84</v>
      </c>
      <c r="C10" s="25" t="s">
        <v>71</v>
      </c>
      <c r="D10" s="25">
        <f t="shared" si="0"/>
        <v>18</v>
      </c>
      <c r="E10" s="26">
        <f>'PRECIOS TODOS'!B12</f>
        <v>152463.872</v>
      </c>
      <c r="F10" s="26">
        <f t="shared" si="1"/>
        <v>2744349.696</v>
      </c>
      <c r="G10" s="27">
        <f t="shared" si="2"/>
        <v>2744349.696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55000000000000004">
      <c r="A11" s="32" t="s">
        <v>70</v>
      </c>
      <c r="B11" s="33" t="s">
        <v>85</v>
      </c>
      <c r="C11" s="34" t="s">
        <v>71</v>
      </c>
      <c r="D11" s="34">
        <f t="shared" si="0"/>
        <v>18</v>
      </c>
      <c r="E11" s="35">
        <f>'PRECIOS TODOS'!B13</f>
        <v>169451.304</v>
      </c>
      <c r="F11" s="35">
        <f t="shared" si="1"/>
        <v>3050123.4720000001</v>
      </c>
      <c r="G11" s="36">
        <f t="shared" si="2"/>
        <v>3050123.4720000001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55000000000000004">
      <c r="A12" s="17" t="s">
        <v>86</v>
      </c>
      <c r="B12" s="18" t="s">
        <v>87</v>
      </c>
      <c r="C12" s="19" t="s">
        <v>71</v>
      </c>
      <c r="D12" s="19">
        <v>48</v>
      </c>
      <c r="E12" s="20">
        <f>'PRECIOS TODOS'!B185</f>
        <v>12337.5</v>
      </c>
      <c r="F12" s="37">
        <f t="shared" si="1"/>
        <v>592200</v>
      </c>
      <c r="G12" s="81">
        <f>SUM(F12:F19)</f>
        <v>3629531.6399999997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55000000000000004">
      <c r="A13" s="23" t="s">
        <v>86</v>
      </c>
      <c r="B13" s="24" t="s">
        <v>88</v>
      </c>
      <c r="C13" s="25" t="s">
        <v>71</v>
      </c>
      <c r="D13" s="25">
        <v>12</v>
      </c>
      <c r="E13" s="26">
        <f>'PRECIOS TODOS'!B190</f>
        <v>5456.4533333333338</v>
      </c>
      <c r="F13" s="38">
        <f t="shared" si="1"/>
        <v>65477.440000000002</v>
      </c>
      <c r="G13" s="8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55000000000000004">
      <c r="A14" s="23" t="s">
        <v>86</v>
      </c>
      <c r="B14" s="24" t="s">
        <v>89</v>
      </c>
      <c r="C14" s="25" t="s">
        <v>71</v>
      </c>
      <c r="D14" s="25">
        <v>6</v>
      </c>
      <c r="E14" s="26">
        <f>'PRECIOS TODOS'!B181</f>
        <v>12337.5</v>
      </c>
      <c r="F14" s="38">
        <f t="shared" si="1"/>
        <v>74025</v>
      </c>
      <c r="G14" s="8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55000000000000004">
      <c r="A15" s="23" t="s">
        <v>86</v>
      </c>
      <c r="B15" s="24" t="s">
        <v>90</v>
      </c>
      <c r="C15" s="25" t="s">
        <v>71</v>
      </c>
      <c r="D15" s="25">
        <v>6</v>
      </c>
      <c r="E15" s="26">
        <f>'PRECIOS TODOS'!B194</f>
        <v>1329.9999999999998</v>
      </c>
      <c r="F15" s="38">
        <f t="shared" si="1"/>
        <v>7979.9999999999982</v>
      </c>
      <c r="G15" s="8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55000000000000004">
      <c r="A16" s="23" t="s">
        <v>86</v>
      </c>
      <c r="B16" s="24" t="s">
        <v>91</v>
      </c>
      <c r="C16" s="25" t="s">
        <v>92</v>
      </c>
      <c r="D16" s="25">
        <v>720</v>
      </c>
      <c r="E16" s="26">
        <f>'PRECIOS TODOS'!B188</f>
        <v>3105.4799999999996</v>
      </c>
      <c r="F16" s="38">
        <f t="shared" si="1"/>
        <v>2235945.5999999996</v>
      </c>
      <c r="G16" s="8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55000000000000004">
      <c r="A17" s="23" t="s">
        <v>86</v>
      </c>
      <c r="B17" s="24" t="s">
        <v>93</v>
      </c>
      <c r="C17" s="25" t="s">
        <v>94</v>
      </c>
      <c r="D17" s="25">
        <v>2</v>
      </c>
      <c r="E17" s="26">
        <f>'PRECIOS TODOS'!B194</f>
        <v>1329.9999999999998</v>
      </c>
      <c r="F17" s="38">
        <f t="shared" si="1"/>
        <v>2659.9999999999995</v>
      </c>
      <c r="G17" s="8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55000000000000004">
      <c r="A18" s="23" t="s">
        <v>86</v>
      </c>
      <c r="B18" s="24" t="s">
        <v>95</v>
      </c>
      <c r="C18" s="25" t="s">
        <v>94</v>
      </c>
      <c r="D18" s="25">
        <v>8</v>
      </c>
      <c r="E18" s="26">
        <f>'PRECIOS TODOS'!B192</f>
        <v>844.2</v>
      </c>
      <c r="F18" s="38">
        <f t="shared" si="1"/>
        <v>6753.6</v>
      </c>
      <c r="G18" s="8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55000000000000004">
      <c r="A19" s="32" t="s">
        <v>86</v>
      </c>
      <c r="B19" s="33" t="s">
        <v>96</v>
      </c>
      <c r="C19" s="34" t="s">
        <v>71</v>
      </c>
      <c r="D19" s="34">
        <v>180</v>
      </c>
      <c r="E19" s="35">
        <f>'PRECIOS TODOS'!B205</f>
        <v>3580.4999999999991</v>
      </c>
      <c r="F19" s="39">
        <f t="shared" si="1"/>
        <v>644489.99999999988</v>
      </c>
      <c r="G19" s="8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55000000000000004">
      <c r="A20" s="17" t="s">
        <v>97</v>
      </c>
      <c r="B20" s="18" t="s">
        <v>98</v>
      </c>
      <c r="C20" s="19" t="s">
        <v>92</v>
      </c>
      <c r="D20" s="19">
        <f>C2</f>
        <v>180</v>
      </c>
      <c r="E20" s="20">
        <f>'PRECIOS TODOS'!B191*90%</f>
        <v>1168.02</v>
      </c>
      <c r="F20" s="20">
        <f t="shared" si="1"/>
        <v>210243.6</v>
      </c>
      <c r="G20" s="81">
        <f>SUM(F20:F21)</f>
        <v>284268.59999999998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55000000000000004">
      <c r="A21" s="32" t="s">
        <v>97</v>
      </c>
      <c r="B21" s="33" t="s">
        <v>89</v>
      </c>
      <c r="C21" s="34" t="s">
        <v>71</v>
      </c>
      <c r="D21" s="34">
        <v>6</v>
      </c>
      <c r="E21" s="35">
        <f>'PRECIOS TODOS'!B181</f>
        <v>12337.5</v>
      </c>
      <c r="F21" s="35">
        <f t="shared" si="1"/>
        <v>74025</v>
      </c>
      <c r="G21" s="8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55000000000000004">
      <c r="A22" s="19" t="s">
        <v>99</v>
      </c>
      <c r="B22" s="18" t="s">
        <v>100</v>
      </c>
      <c r="C22" s="19" t="s">
        <v>71</v>
      </c>
      <c r="D22" s="19">
        <v>4</v>
      </c>
      <c r="E22" s="20">
        <f>'PRECIOS TODOS'!B137</f>
        <v>35000</v>
      </c>
      <c r="F22" s="40">
        <f t="shared" si="1"/>
        <v>140000</v>
      </c>
      <c r="G22" s="81">
        <f>SUM(F22:F25)</f>
        <v>1450000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55000000000000004">
      <c r="A23" s="25" t="s">
        <v>99</v>
      </c>
      <c r="B23" s="24" t="s">
        <v>101</v>
      </c>
      <c r="C23" s="25" t="s">
        <v>71</v>
      </c>
      <c r="D23" s="25">
        <v>2</v>
      </c>
      <c r="E23" s="26">
        <f>'PRECIOS TODOS'!B138</f>
        <v>31250</v>
      </c>
      <c r="F23" s="41">
        <f t="shared" si="1"/>
        <v>62500</v>
      </c>
      <c r="G23" s="8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55000000000000004">
      <c r="A24" s="25" t="s">
        <v>99</v>
      </c>
      <c r="B24" s="24" t="s">
        <v>102</v>
      </c>
      <c r="C24" s="25" t="s">
        <v>71</v>
      </c>
      <c r="D24" s="25">
        <v>34</v>
      </c>
      <c r="E24" s="26">
        <f>'PRECIOS TODOS'!B139</f>
        <v>28750</v>
      </c>
      <c r="F24" s="41">
        <f t="shared" si="1"/>
        <v>977500</v>
      </c>
      <c r="G24" s="8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55000000000000004">
      <c r="A25" s="34" t="s">
        <v>99</v>
      </c>
      <c r="B25" s="33" t="s">
        <v>103</v>
      </c>
      <c r="C25" s="34" t="s">
        <v>71</v>
      </c>
      <c r="D25" s="34">
        <v>12</v>
      </c>
      <c r="E25" s="35">
        <f>'PRECIOS TODOS'!B140</f>
        <v>22500</v>
      </c>
      <c r="F25" s="42">
        <f t="shared" si="1"/>
        <v>270000</v>
      </c>
      <c r="G25" s="8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55000000000000004">
      <c r="A26" s="17" t="s">
        <v>73</v>
      </c>
      <c r="B26" s="18" t="s">
        <v>104</v>
      </c>
      <c r="C26" s="19" t="s">
        <v>71</v>
      </c>
      <c r="D26" s="19">
        <v>4</v>
      </c>
      <c r="E26" s="43">
        <f>'PRECIOS TODOS'!B150</f>
        <v>31250</v>
      </c>
      <c r="F26" s="40">
        <f t="shared" si="1"/>
        <v>125000</v>
      </c>
      <c r="G26" s="81">
        <f>SUM(F26:F29)</f>
        <v>1300000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55000000000000004">
      <c r="A27" s="23" t="s">
        <v>73</v>
      </c>
      <c r="B27" s="24" t="s">
        <v>101</v>
      </c>
      <c r="C27" s="25" t="s">
        <v>71</v>
      </c>
      <c r="D27" s="25">
        <v>2</v>
      </c>
      <c r="E27" s="44">
        <f>'PRECIOS TODOS'!B151</f>
        <v>27500</v>
      </c>
      <c r="F27" s="41">
        <f t="shared" si="1"/>
        <v>55000</v>
      </c>
      <c r="G27" s="8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55000000000000004">
      <c r="A28" s="23" t="s">
        <v>73</v>
      </c>
      <c r="B28" s="24" t="s">
        <v>105</v>
      </c>
      <c r="C28" s="25" t="s">
        <v>71</v>
      </c>
      <c r="D28" s="25">
        <v>34</v>
      </c>
      <c r="E28" s="44">
        <f>'PRECIOS TODOS'!B152</f>
        <v>25000</v>
      </c>
      <c r="F28" s="41">
        <f t="shared" si="1"/>
        <v>850000</v>
      </c>
      <c r="G28" s="8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55000000000000004">
      <c r="A29" s="32" t="s">
        <v>73</v>
      </c>
      <c r="B29" s="33" t="s">
        <v>103</v>
      </c>
      <c r="C29" s="34" t="s">
        <v>71</v>
      </c>
      <c r="D29" s="34">
        <v>12</v>
      </c>
      <c r="E29" s="45">
        <f>'PRECIOS TODOS'!B140</f>
        <v>22500</v>
      </c>
      <c r="F29" s="42">
        <f t="shared" si="1"/>
        <v>270000</v>
      </c>
      <c r="G29" s="8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55000000000000004">
      <c r="A30" s="17" t="s">
        <v>106</v>
      </c>
      <c r="B30" s="18" t="s">
        <v>104</v>
      </c>
      <c r="C30" s="19" t="s">
        <v>71</v>
      </c>
      <c r="D30" s="19">
        <v>4</v>
      </c>
      <c r="E30" s="43">
        <f>'PRECIOS TODOS'!B163</f>
        <v>22500</v>
      </c>
      <c r="F30" s="37">
        <f t="shared" si="1"/>
        <v>90000</v>
      </c>
      <c r="G30" s="81">
        <f>SUM(F30:F33)</f>
        <v>1110000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55000000000000004">
      <c r="A31" s="23" t="s">
        <v>106</v>
      </c>
      <c r="B31" s="24" t="s">
        <v>101</v>
      </c>
      <c r="C31" s="25" t="s">
        <v>71</v>
      </c>
      <c r="D31" s="25">
        <v>2</v>
      </c>
      <c r="E31" s="44">
        <f>'PRECIOS TODOS'!B163</f>
        <v>22500</v>
      </c>
      <c r="F31" s="38">
        <f t="shared" si="1"/>
        <v>45000</v>
      </c>
      <c r="G31" s="8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55000000000000004">
      <c r="A32" s="23" t="s">
        <v>106</v>
      </c>
      <c r="B32" s="24" t="s">
        <v>105</v>
      </c>
      <c r="C32" s="25" t="s">
        <v>71</v>
      </c>
      <c r="D32" s="25">
        <v>34</v>
      </c>
      <c r="E32" s="44">
        <f>'PRECIOS TODOS'!B163</f>
        <v>22500</v>
      </c>
      <c r="F32" s="38">
        <f t="shared" si="1"/>
        <v>765000</v>
      </c>
      <c r="G32" s="8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55000000000000004">
      <c r="A33" s="32" t="s">
        <v>106</v>
      </c>
      <c r="B33" s="33" t="s">
        <v>209</v>
      </c>
      <c r="C33" s="34" t="s">
        <v>71</v>
      </c>
      <c r="D33" s="34">
        <v>12</v>
      </c>
      <c r="E33" s="45">
        <f>'PRECIOS TODOS'!B176</f>
        <v>17500</v>
      </c>
      <c r="F33" s="39">
        <f t="shared" si="1"/>
        <v>210000</v>
      </c>
      <c r="G33" s="8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55000000000000004">
      <c r="A34" s="17" t="s">
        <v>76</v>
      </c>
      <c r="B34" s="18" t="s">
        <v>39</v>
      </c>
      <c r="C34" s="19" t="s">
        <v>107</v>
      </c>
      <c r="D34" s="19">
        <v>8</v>
      </c>
      <c r="E34" s="43">
        <f>'PRECIOS TODOS'!B202</f>
        <v>30239.999999999996</v>
      </c>
      <c r="F34" s="43">
        <f t="shared" ref="F34:F43" si="3">+D34*E34</f>
        <v>241919.99999999997</v>
      </c>
      <c r="G34" s="81">
        <f>SUM(F34:F36)</f>
        <v>1164380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55000000000000004">
      <c r="A35" s="23" t="s">
        <v>76</v>
      </c>
      <c r="B35" s="24" t="s">
        <v>40</v>
      </c>
      <c r="C35" s="25" t="s">
        <v>107</v>
      </c>
      <c r="D35" s="25">
        <v>8</v>
      </c>
      <c r="E35" s="44">
        <f>'PRECIOS TODOS'!B196</f>
        <v>43819.999999999993</v>
      </c>
      <c r="F35" s="44">
        <f t="shared" si="3"/>
        <v>350559.99999999994</v>
      </c>
      <c r="G35" s="8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55000000000000004">
      <c r="A36" s="32" t="s">
        <v>76</v>
      </c>
      <c r="B36" s="33" t="s">
        <v>108</v>
      </c>
      <c r="C36" s="34" t="s">
        <v>109</v>
      </c>
      <c r="D36" s="34">
        <v>50</v>
      </c>
      <c r="E36" s="45">
        <f>'PRECIOS TODOS'!B204</f>
        <v>11438</v>
      </c>
      <c r="F36" s="45">
        <f t="shared" si="3"/>
        <v>571900</v>
      </c>
      <c r="G36" s="8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55000000000000004">
      <c r="A37" s="17" t="s">
        <v>110</v>
      </c>
      <c r="B37" s="18" t="s">
        <v>39</v>
      </c>
      <c r="C37" s="19" t="s">
        <v>107</v>
      </c>
      <c r="D37" s="19">
        <f t="shared" ref="D37:D39" si="4">(D34/4)*3</f>
        <v>6</v>
      </c>
      <c r="E37" s="43">
        <f>'PRECIOS TODOS'!B202</f>
        <v>30239.999999999996</v>
      </c>
      <c r="F37" s="43">
        <f t="shared" si="3"/>
        <v>181439.99999999997</v>
      </c>
      <c r="G37" s="81">
        <f>SUM(F37:F39)</f>
        <v>791805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55000000000000004">
      <c r="A38" s="23" t="s">
        <v>110</v>
      </c>
      <c r="B38" s="24" t="s">
        <v>40</v>
      </c>
      <c r="C38" s="25" t="s">
        <v>107</v>
      </c>
      <c r="D38" s="25">
        <f t="shared" si="4"/>
        <v>6</v>
      </c>
      <c r="E38" s="44">
        <f>'PRECIOS TODOS'!B202</f>
        <v>30239.999999999996</v>
      </c>
      <c r="F38" s="44">
        <f t="shared" si="3"/>
        <v>181439.99999999997</v>
      </c>
      <c r="G38" s="8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55000000000000004">
      <c r="A39" s="32" t="s">
        <v>110</v>
      </c>
      <c r="B39" s="33" t="s">
        <v>108</v>
      </c>
      <c r="C39" s="34" t="s">
        <v>109</v>
      </c>
      <c r="D39" s="34">
        <f t="shared" si="4"/>
        <v>37.5</v>
      </c>
      <c r="E39" s="45">
        <f>'PRECIOS TODOS'!B204</f>
        <v>11438</v>
      </c>
      <c r="F39" s="45">
        <f t="shared" si="3"/>
        <v>428925</v>
      </c>
      <c r="G39" s="8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55000000000000004">
      <c r="A40" s="17" t="s">
        <v>111</v>
      </c>
      <c r="B40" s="18" t="s">
        <v>39</v>
      </c>
      <c r="C40" s="19" t="s">
        <v>107</v>
      </c>
      <c r="D40" s="19">
        <f t="shared" ref="D40:D42" si="5">(D34/2)</f>
        <v>4</v>
      </c>
      <c r="E40" s="43">
        <f>'PRECIOS TODOS'!B202</f>
        <v>30239.999999999996</v>
      </c>
      <c r="F40" s="43">
        <f t="shared" si="3"/>
        <v>120959.99999999999</v>
      </c>
      <c r="G40" s="81">
        <f>SUM(F40:F42)</f>
        <v>997919.99999999988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55000000000000004">
      <c r="A41" s="23" t="s">
        <v>111</v>
      </c>
      <c r="B41" s="24" t="s">
        <v>40</v>
      </c>
      <c r="C41" s="25" t="s">
        <v>107</v>
      </c>
      <c r="D41" s="25">
        <f t="shared" si="5"/>
        <v>4</v>
      </c>
      <c r="E41" s="44">
        <f>'PRECIOS TODOS'!B202</f>
        <v>30239.999999999996</v>
      </c>
      <c r="F41" s="44">
        <f t="shared" si="3"/>
        <v>120959.99999999999</v>
      </c>
      <c r="G41" s="8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55000000000000004">
      <c r="A42" s="32" t="s">
        <v>111</v>
      </c>
      <c r="B42" s="33" t="s">
        <v>108</v>
      </c>
      <c r="C42" s="34" t="s">
        <v>109</v>
      </c>
      <c r="D42" s="34">
        <f t="shared" si="5"/>
        <v>25</v>
      </c>
      <c r="E42" s="45">
        <f>'PRECIOS TODOS'!B203</f>
        <v>30239.999999999996</v>
      </c>
      <c r="F42" s="45">
        <f t="shared" si="3"/>
        <v>755999.99999999988</v>
      </c>
      <c r="G42" s="8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55000000000000004">
      <c r="A43" s="46" t="s">
        <v>112</v>
      </c>
      <c r="B43" s="47" t="s">
        <v>113</v>
      </c>
      <c r="C43" s="48" t="s">
        <v>71</v>
      </c>
      <c r="D43" s="48">
        <f>C2</f>
        <v>180</v>
      </c>
      <c r="E43" s="49">
        <f>'PRECIOS TODOS'!B204</f>
        <v>11438</v>
      </c>
      <c r="F43" s="49">
        <f t="shared" si="3"/>
        <v>2058840</v>
      </c>
      <c r="G43" s="50">
        <f>F43</f>
        <v>2058840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84" t="s">
        <v>114</v>
      </c>
      <c r="B61" s="87" t="s">
        <v>115</v>
      </c>
      <c r="C61" s="51" t="s">
        <v>116</v>
      </c>
      <c r="D61" s="52" t="s">
        <v>117</v>
      </c>
      <c r="E61" s="53" t="s">
        <v>118</v>
      </c>
      <c r="F61" s="54" t="e">
        <f t="shared" ref="F61:F68" si="6">+#REF!</f>
        <v>#REF!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85"/>
      <c r="B62" s="88"/>
      <c r="C62" s="55" t="s">
        <v>119</v>
      </c>
      <c r="D62" s="56" t="s">
        <v>120</v>
      </c>
      <c r="E62" s="57" t="s">
        <v>118</v>
      </c>
      <c r="F62" s="58" t="e">
        <f t="shared" si="6"/>
        <v>#REF!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85"/>
      <c r="B63" s="88"/>
      <c r="C63" s="55" t="s">
        <v>121</v>
      </c>
      <c r="D63" s="56" t="s">
        <v>122</v>
      </c>
      <c r="E63" s="57" t="s">
        <v>118</v>
      </c>
      <c r="F63" s="58" t="e">
        <f t="shared" si="6"/>
        <v>#REF!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85"/>
      <c r="B64" s="89"/>
      <c r="C64" s="59" t="s">
        <v>123</v>
      </c>
      <c r="D64" s="60" t="s">
        <v>124</v>
      </c>
      <c r="E64" s="61" t="s">
        <v>118</v>
      </c>
      <c r="F64" s="62" t="e">
        <f t="shared" si="6"/>
        <v>#REF!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85"/>
      <c r="B65" s="90" t="s">
        <v>125</v>
      </c>
      <c r="C65" s="63" t="s">
        <v>116</v>
      </c>
      <c r="D65" s="64" t="s">
        <v>126</v>
      </c>
      <c r="E65" s="65" t="s">
        <v>118</v>
      </c>
      <c r="F65" s="66" t="e">
        <f t="shared" si="6"/>
        <v>#REF!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85"/>
      <c r="B66" s="88"/>
      <c r="C66" s="67" t="s">
        <v>119</v>
      </c>
      <c r="D66" s="56" t="s">
        <v>127</v>
      </c>
      <c r="E66" s="57" t="s">
        <v>118</v>
      </c>
      <c r="F66" s="58" t="e">
        <f t="shared" si="6"/>
        <v>#REF!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85"/>
      <c r="B67" s="88"/>
      <c r="C67" s="67" t="s">
        <v>121</v>
      </c>
      <c r="D67" s="56" t="s">
        <v>128</v>
      </c>
      <c r="E67" s="57" t="s">
        <v>118</v>
      </c>
      <c r="F67" s="58" t="e">
        <f t="shared" si="6"/>
        <v>#REF!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86"/>
      <c r="B68" s="91"/>
      <c r="C68" s="68" t="s">
        <v>123</v>
      </c>
      <c r="D68" s="69" t="s">
        <v>129</v>
      </c>
      <c r="E68" s="70" t="s">
        <v>118</v>
      </c>
      <c r="F68" s="71" t="e">
        <f t="shared" si="6"/>
        <v>#REF!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/>
    <row r="270" spans="1:26" ht="15.75" customHeight="1" x14ac:dyDescent="0.45"/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1">
    <mergeCell ref="G40:G42"/>
    <mergeCell ref="A61:A68"/>
    <mergeCell ref="B61:B64"/>
    <mergeCell ref="B65:B68"/>
    <mergeCell ref="G12:G19"/>
    <mergeCell ref="G20:G21"/>
    <mergeCell ref="G22:G25"/>
    <mergeCell ref="G26:G29"/>
    <mergeCell ref="G30:G33"/>
    <mergeCell ref="G34:G36"/>
    <mergeCell ref="G37:G39"/>
  </mergeCells>
  <dataValidations count="5">
    <dataValidation type="list" allowBlank="1" showErrorMessage="1" sqref="K6" xr:uid="{00000000-0002-0000-0100-000000000000}">
      <formula1>"1.0,2.0,3.0"</formula1>
    </dataValidation>
    <dataValidation type="list" allowBlank="1" showErrorMessage="1" sqref="J3:K3" xr:uid="{00000000-0002-0000-0100-000001000000}">
      <formula1>$B$4:$B$11</formula1>
    </dataValidation>
    <dataValidation type="list" allowBlank="1" showErrorMessage="1" sqref="J5:K5" xr:uid="{00000000-0002-0000-0100-000002000000}">
      <formula1>"CORDON 20 CM,CORDON 15 CM,CORDON 10 CM"</formula1>
    </dataValidation>
    <dataValidation type="list" allowBlank="1" showErrorMessage="1" sqref="J4:K4" xr:uid="{00000000-0002-0000-0100-000003000000}">
      <formula1>"POSTES OLIMP,POSTES P DIAMANTE,POSTE EUCALIPTO"</formula1>
    </dataValidation>
    <dataValidation type="list" allowBlank="1" showErrorMessage="1" sqref="J6" xr:uid="{00000000-0002-0000-0100-000004000000}">
      <formula1>"1,2,3,0"</formula1>
    </dataValidation>
  </dataValidations>
  <pageMargins left="0.7" right="0.7" top="0.75" bottom="0.75" header="0" footer="0"/>
  <pageSetup orientation="landscape"/>
  <ignoredErrors>
    <ignoredError sqref="E39 E16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53734"/>
  </sheetPr>
  <dimension ref="A1:Z1000"/>
  <sheetViews>
    <sheetView workbookViewId="0">
      <selection activeCell="I9" sqref="I9"/>
    </sheetView>
  </sheetViews>
  <sheetFormatPr baseColWidth="10" defaultColWidth="12.6171875" defaultRowHeight="15" customHeight="1" x14ac:dyDescent="0.45"/>
  <cols>
    <col min="1" max="1" width="19.234375" customWidth="1"/>
    <col min="2" max="2" width="28.234375" customWidth="1"/>
    <col min="3" max="4" width="9.37890625" customWidth="1"/>
    <col min="5" max="5" width="12.47265625" customWidth="1"/>
    <col min="6" max="6" width="16.76171875" customWidth="1"/>
    <col min="7" max="7" width="12.85546875" customWidth="1"/>
    <col min="8" max="8" width="9.37890625" customWidth="1"/>
    <col min="9" max="9" width="15.85546875" customWidth="1"/>
    <col min="10" max="10" width="20.85546875" customWidth="1"/>
    <col min="11" max="11" width="5.76171875" customWidth="1"/>
    <col min="12" max="12" width="15.234375" customWidth="1"/>
    <col min="13" max="13" width="14.47265625" customWidth="1"/>
  </cols>
  <sheetData>
    <row r="1" spans="1:26" ht="14.25" customHeight="1" x14ac:dyDescent="0.55000000000000004">
      <c r="A1" s="3"/>
      <c r="B1" s="1" t="s">
        <v>56</v>
      </c>
      <c r="C1" s="1" t="s">
        <v>57</v>
      </c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55000000000000004">
      <c r="A2" s="3"/>
      <c r="B2" s="1" t="s">
        <v>58</v>
      </c>
      <c r="C2" s="4">
        <v>180</v>
      </c>
      <c r="D2" s="1"/>
      <c r="E2" s="1"/>
      <c r="F2" s="1"/>
      <c r="G2" s="1"/>
      <c r="H2" s="2"/>
      <c r="I2" s="5" t="s">
        <v>59</v>
      </c>
      <c r="J2" s="6"/>
      <c r="K2" s="2"/>
      <c r="L2" s="7" t="s">
        <v>60</v>
      </c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55000000000000004">
      <c r="A3" s="9" t="s">
        <v>61</v>
      </c>
      <c r="B3" s="10" t="s">
        <v>30</v>
      </c>
      <c r="C3" s="11" t="s">
        <v>62</v>
      </c>
      <c r="D3" s="11" t="s">
        <v>63</v>
      </c>
      <c r="E3" s="11" t="s">
        <v>64</v>
      </c>
      <c r="F3" s="12" t="s">
        <v>65</v>
      </c>
      <c r="G3" s="9" t="s">
        <v>66</v>
      </c>
      <c r="H3" s="2"/>
      <c r="I3" s="13" t="s">
        <v>67</v>
      </c>
      <c r="J3" s="14" t="s">
        <v>136</v>
      </c>
      <c r="K3" s="4"/>
      <c r="L3" s="15">
        <f>SUMIFS(G4:G11,B4:B11,J3)</f>
        <v>2438776.2960000001</v>
      </c>
      <c r="M3" s="16" t="s">
        <v>69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55000000000000004">
      <c r="A4" s="17" t="s">
        <v>70</v>
      </c>
      <c r="B4" s="18" t="s">
        <v>131</v>
      </c>
      <c r="C4" s="19" t="s">
        <v>71</v>
      </c>
      <c r="D4" s="19">
        <f t="shared" ref="D4:D11" si="0">$C$2/10</f>
        <v>18</v>
      </c>
      <c r="E4" s="72">
        <f>'PRECIOS TODOS'!B20</f>
        <v>60190.724000000002</v>
      </c>
      <c r="F4" s="20">
        <f t="shared" ref="F4:F33" si="1">D4*E4</f>
        <v>1083433.0320000001</v>
      </c>
      <c r="G4" s="21">
        <f t="shared" ref="G4:G11" si="2">F4</f>
        <v>1083433.0320000001</v>
      </c>
      <c r="H4" s="2"/>
      <c r="I4" s="13" t="s">
        <v>72</v>
      </c>
      <c r="J4" s="14" t="s">
        <v>99</v>
      </c>
      <c r="K4" s="4"/>
      <c r="L4" s="22">
        <f>SUMIFS(F22:F33,A22:A33,J4)</f>
        <v>1306000</v>
      </c>
      <c r="M4" s="22">
        <f>G12+G43</f>
        <v>5012390.0399999991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55000000000000004">
      <c r="A5" s="23" t="s">
        <v>70</v>
      </c>
      <c r="B5" s="24" t="s">
        <v>132</v>
      </c>
      <c r="C5" s="25" t="s">
        <v>71</v>
      </c>
      <c r="D5" s="25">
        <f t="shared" si="0"/>
        <v>18</v>
      </c>
      <c r="E5" s="73">
        <f>'PRECIOS TODOS'!B21</f>
        <v>75252.320000000007</v>
      </c>
      <c r="F5" s="26">
        <f t="shared" si="1"/>
        <v>1354541.7600000002</v>
      </c>
      <c r="G5" s="27">
        <f t="shared" si="2"/>
        <v>1354541.7600000002</v>
      </c>
      <c r="H5" s="2"/>
      <c r="I5" s="13" t="s">
        <v>75</v>
      </c>
      <c r="J5" s="28" t="s">
        <v>110</v>
      </c>
      <c r="K5" s="29"/>
      <c r="L5" s="22">
        <f>SUMIFS(F34:F42,A34:A42,J5)</f>
        <v>791805</v>
      </c>
      <c r="M5" s="3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55000000000000004">
      <c r="A6" s="23" t="s">
        <v>70</v>
      </c>
      <c r="B6" s="24" t="s">
        <v>130</v>
      </c>
      <c r="C6" s="25" t="s">
        <v>71</v>
      </c>
      <c r="D6" s="25">
        <f t="shared" si="0"/>
        <v>18</v>
      </c>
      <c r="E6" s="73">
        <f>'PRECIOS TODOS'!B23</f>
        <v>87798.084000000003</v>
      </c>
      <c r="F6" s="26">
        <f t="shared" si="1"/>
        <v>1580365.5120000001</v>
      </c>
      <c r="G6" s="27">
        <f t="shared" si="2"/>
        <v>1580365.5120000001</v>
      </c>
      <c r="H6" s="2"/>
      <c r="I6" s="13" t="s">
        <v>78</v>
      </c>
      <c r="J6" s="14">
        <v>3</v>
      </c>
      <c r="K6" s="4"/>
      <c r="L6" s="22">
        <f>G20*J6</f>
        <v>852805.79999999993</v>
      </c>
      <c r="M6" s="3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55000000000000004">
      <c r="A7" s="23" t="s">
        <v>70</v>
      </c>
      <c r="B7" s="24" t="s">
        <v>133</v>
      </c>
      <c r="C7" s="25" t="s">
        <v>71</v>
      </c>
      <c r="D7" s="25">
        <f t="shared" si="0"/>
        <v>18</v>
      </c>
      <c r="E7" s="73">
        <f>'PRECIOS TODOS'!B24</f>
        <v>103583.26000000001</v>
      </c>
      <c r="F7" s="26">
        <f t="shared" si="1"/>
        <v>1864498.6800000002</v>
      </c>
      <c r="G7" s="27">
        <f t="shared" si="2"/>
        <v>1864498.6800000002</v>
      </c>
      <c r="H7" s="2"/>
      <c r="I7" s="13" t="s">
        <v>80</v>
      </c>
      <c r="J7" s="28">
        <f>SUM(L3:L6)+M4</f>
        <v>10401777.136</v>
      </c>
      <c r="K7" s="29"/>
      <c r="L7" s="30"/>
      <c r="M7" s="3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55000000000000004">
      <c r="A8" s="23" t="s">
        <v>70</v>
      </c>
      <c r="B8" s="24" t="s">
        <v>134</v>
      </c>
      <c r="C8" s="25" t="s">
        <v>71</v>
      </c>
      <c r="D8" s="25">
        <f t="shared" si="0"/>
        <v>18</v>
      </c>
      <c r="E8" s="73">
        <f>'PRECIOS TODOS'!B25</f>
        <v>90325.047999999995</v>
      </c>
      <c r="F8" s="26">
        <f t="shared" si="1"/>
        <v>1625850.8639999998</v>
      </c>
      <c r="G8" s="27">
        <f t="shared" si="2"/>
        <v>1625850.8639999998</v>
      </c>
      <c r="H8" s="2"/>
      <c r="I8" s="79" t="s">
        <v>82</v>
      </c>
      <c r="J8" s="80">
        <f>J7/C2</f>
        <v>57787.650755555558</v>
      </c>
      <c r="K8" s="29"/>
      <c r="L8" s="31"/>
      <c r="M8" s="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55000000000000004">
      <c r="A9" s="23" t="s">
        <v>70</v>
      </c>
      <c r="B9" s="24" t="s">
        <v>135</v>
      </c>
      <c r="C9" s="25" t="s">
        <v>71</v>
      </c>
      <c r="D9" s="25">
        <f t="shared" si="0"/>
        <v>18</v>
      </c>
      <c r="E9" s="73">
        <f>'PRECIOS TODOS'!B26</f>
        <v>99475.551999999996</v>
      </c>
      <c r="F9" s="26">
        <f t="shared" si="1"/>
        <v>1790559.936</v>
      </c>
      <c r="G9" s="27">
        <f t="shared" si="2"/>
        <v>1790559.936</v>
      </c>
      <c r="H9" s="2"/>
      <c r="I9" s="13" t="s">
        <v>210</v>
      </c>
      <c r="J9" s="28">
        <f>J8*130%</f>
        <v>75123.945982222227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55000000000000004">
      <c r="A10" s="23" t="s">
        <v>70</v>
      </c>
      <c r="B10" s="24" t="s">
        <v>136</v>
      </c>
      <c r="C10" s="25" t="s">
        <v>71</v>
      </c>
      <c r="D10" s="25">
        <f t="shared" si="0"/>
        <v>18</v>
      </c>
      <c r="E10" s="73">
        <f>'PRECIOS TODOS'!B28</f>
        <v>135487.57200000001</v>
      </c>
      <c r="F10" s="26">
        <f t="shared" si="1"/>
        <v>2438776.2960000001</v>
      </c>
      <c r="G10" s="27">
        <f t="shared" si="2"/>
        <v>2438776.2960000001</v>
      </c>
      <c r="H10" s="2"/>
      <c r="I10" s="2"/>
      <c r="J10" s="78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55000000000000004">
      <c r="A11" s="32" t="s">
        <v>70</v>
      </c>
      <c r="B11" s="33" t="s">
        <v>137</v>
      </c>
      <c r="C11" s="34" t="s">
        <v>71</v>
      </c>
      <c r="D11" s="34">
        <f t="shared" si="0"/>
        <v>18</v>
      </c>
      <c r="E11" s="73">
        <f>'PRECIOS TODOS'!B29</f>
        <v>163662.66399999999</v>
      </c>
      <c r="F11" s="35">
        <f t="shared" si="1"/>
        <v>2945927.9519999996</v>
      </c>
      <c r="G11" s="36">
        <f t="shared" si="2"/>
        <v>2945927.9519999996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55000000000000004">
      <c r="A12" s="17" t="s">
        <v>86</v>
      </c>
      <c r="B12" s="18" t="s">
        <v>87</v>
      </c>
      <c r="C12" s="19" t="s">
        <v>71</v>
      </c>
      <c r="D12" s="19">
        <f>D13*3</f>
        <v>36</v>
      </c>
      <c r="E12" s="20">
        <f>'PRECIOS TODOS'!B185</f>
        <v>12337.5</v>
      </c>
      <c r="F12" s="37">
        <f t="shared" si="1"/>
        <v>444150</v>
      </c>
      <c r="G12" s="81">
        <f>SUM(F12:F19)</f>
        <v>2953550.0399999996</v>
      </c>
      <c r="H12" s="2"/>
      <c r="I12" s="2"/>
      <c r="J12" s="78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55000000000000004">
      <c r="A13" s="23" t="s">
        <v>86</v>
      </c>
      <c r="B13" s="24" t="s">
        <v>88</v>
      </c>
      <c r="C13" s="25" t="s">
        <v>71</v>
      </c>
      <c r="D13" s="25">
        <v>12</v>
      </c>
      <c r="E13" s="26">
        <f>'PRECIOS TODOS'!B190</f>
        <v>5456.4533333333338</v>
      </c>
      <c r="F13" s="38">
        <f t="shared" si="1"/>
        <v>65477.440000000002</v>
      </c>
      <c r="G13" s="82"/>
      <c r="H13" s="2"/>
      <c r="I13" s="2"/>
      <c r="J13" s="78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55000000000000004">
      <c r="A14" s="23" t="s">
        <v>86</v>
      </c>
      <c r="B14" s="24" t="s">
        <v>89</v>
      </c>
      <c r="C14" s="25" t="s">
        <v>71</v>
      </c>
      <c r="D14" s="25">
        <v>6</v>
      </c>
      <c r="E14" s="26">
        <f>'PRECIOS TODOS'!B181</f>
        <v>12337.5</v>
      </c>
      <c r="F14" s="38">
        <f t="shared" si="1"/>
        <v>74025</v>
      </c>
      <c r="G14" s="82"/>
      <c r="H14" s="2"/>
      <c r="I14" s="2"/>
      <c r="J14" s="78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55000000000000004">
      <c r="A15" s="23" t="s">
        <v>86</v>
      </c>
      <c r="B15" s="24" t="s">
        <v>90</v>
      </c>
      <c r="C15" s="25" t="s">
        <v>71</v>
      </c>
      <c r="D15" s="25">
        <v>6</v>
      </c>
      <c r="E15" s="26">
        <f>'PRECIOS TODOS'!B194</f>
        <v>1329.9999999999998</v>
      </c>
      <c r="F15" s="38">
        <f t="shared" si="1"/>
        <v>7979.9999999999982</v>
      </c>
      <c r="G15" s="82"/>
      <c r="H15" s="2"/>
      <c r="I15" s="2"/>
      <c r="J15" s="78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55000000000000004">
      <c r="A16" s="23" t="s">
        <v>86</v>
      </c>
      <c r="B16" s="24" t="s">
        <v>138</v>
      </c>
      <c r="C16" s="25" t="s">
        <v>92</v>
      </c>
      <c r="D16" s="25">
        <v>550</v>
      </c>
      <c r="E16" s="26">
        <f>'PRECIOS TODOS'!B188</f>
        <v>3105.4799999999996</v>
      </c>
      <c r="F16" s="38">
        <f t="shared" si="1"/>
        <v>1708013.9999999998</v>
      </c>
      <c r="G16" s="82"/>
      <c r="H16" s="2"/>
      <c r="I16" s="2"/>
      <c r="J16" s="78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55000000000000004">
      <c r="A17" s="23" t="s">
        <v>86</v>
      </c>
      <c r="B17" s="24" t="s">
        <v>93</v>
      </c>
      <c r="C17" s="25" t="s">
        <v>94</v>
      </c>
      <c r="D17" s="25">
        <v>2</v>
      </c>
      <c r="E17" s="26">
        <f>'PRECIOS TODOS'!B194</f>
        <v>1329.9999999999998</v>
      </c>
      <c r="F17" s="38">
        <f t="shared" si="1"/>
        <v>2659.9999999999995</v>
      </c>
      <c r="G17" s="8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55000000000000004">
      <c r="A18" s="23" t="s">
        <v>86</v>
      </c>
      <c r="B18" s="24" t="s">
        <v>95</v>
      </c>
      <c r="C18" s="25" t="s">
        <v>94</v>
      </c>
      <c r="D18" s="25">
        <v>8</v>
      </c>
      <c r="E18" s="26">
        <f>'PRECIOS TODOS'!B192</f>
        <v>844.2</v>
      </c>
      <c r="F18" s="38">
        <f t="shared" si="1"/>
        <v>6753.6</v>
      </c>
      <c r="G18" s="8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55000000000000004">
      <c r="A19" s="32" t="s">
        <v>86</v>
      </c>
      <c r="B19" s="33" t="s">
        <v>96</v>
      </c>
      <c r="C19" s="34" t="s">
        <v>71</v>
      </c>
      <c r="D19" s="34">
        <v>180</v>
      </c>
      <c r="E19" s="35">
        <f>'PRECIOS TODOS'!B205</f>
        <v>3580.4999999999991</v>
      </c>
      <c r="F19" s="39">
        <f t="shared" si="1"/>
        <v>644489.99999999988</v>
      </c>
      <c r="G19" s="8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55000000000000004">
      <c r="A20" s="17" t="s">
        <v>97</v>
      </c>
      <c r="B20" s="18" t="s">
        <v>98</v>
      </c>
      <c r="C20" s="19" t="s">
        <v>92</v>
      </c>
      <c r="D20" s="19">
        <f>C2</f>
        <v>180</v>
      </c>
      <c r="E20" s="20">
        <f>'PRECIOS TODOS'!B191*90%</f>
        <v>1168.02</v>
      </c>
      <c r="F20" s="20">
        <f t="shared" si="1"/>
        <v>210243.6</v>
      </c>
      <c r="G20" s="81">
        <f>SUM(F20:F21)</f>
        <v>284268.59999999998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55000000000000004">
      <c r="A21" s="32" t="s">
        <v>97</v>
      </c>
      <c r="B21" s="33" t="s">
        <v>89</v>
      </c>
      <c r="C21" s="34" t="s">
        <v>71</v>
      </c>
      <c r="D21" s="34">
        <v>6</v>
      </c>
      <c r="E21" s="35">
        <f>'PRECIOS TODOS'!B181</f>
        <v>12337.5</v>
      </c>
      <c r="F21" s="35">
        <f t="shared" si="1"/>
        <v>74025</v>
      </c>
      <c r="G21" s="8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55000000000000004">
      <c r="A22" s="19" t="s">
        <v>99</v>
      </c>
      <c r="B22" s="18" t="s">
        <v>104</v>
      </c>
      <c r="C22" s="19" t="s">
        <v>71</v>
      </c>
      <c r="D22" s="19">
        <v>4</v>
      </c>
      <c r="E22" s="74">
        <f>'PRECIOS TODOS'!B143</f>
        <v>32000</v>
      </c>
      <c r="F22" s="40">
        <f t="shared" si="1"/>
        <v>128000</v>
      </c>
      <c r="G22" s="81">
        <f>SUM(F22:F25)</f>
        <v>1306000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55000000000000004">
      <c r="A23" s="25" t="s">
        <v>99</v>
      </c>
      <c r="B23" s="24" t="s">
        <v>139</v>
      </c>
      <c r="C23" s="25" t="s">
        <v>71</v>
      </c>
      <c r="D23" s="25">
        <v>2</v>
      </c>
      <c r="E23" s="75">
        <f>'PRECIOS TODOS'!B144</f>
        <v>29000</v>
      </c>
      <c r="F23" s="41">
        <f t="shared" si="1"/>
        <v>58000</v>
      </c>
      <c r="G23" s="8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55000000000000004">
      <c r="A24" s="25" t="s">
        <v>99</v>
      </c>
      <c r="B24" s="24" t="s">
        <v>105</v>
      </c>
      <c r="C24" s="25" t="s">
        <v>71</v>
      </c>
      <c r="D24" s="25">
        <v>34</v>
      </c>
      <c r="E24" s="75">
        <f>'PRECIOS TODOS'!B145</f>
        <v>25000</v>
      </c>
      <c r="F24" s="41">
        <f t="shared" si="1"/>
        <v>850000</v>
      </c>
      <c r="G24" s="8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55000000000000004">
      <c r="A25" s="34" t="s">
        <v>99</v>
      </c>
      <c r="B25" s="33" t="s">
        <v>103</v>
      </c>
      <c r="C25" s="34" t="s">
        <v>71</v>
      </c>
      <c r="D25" s="34">
        <v>12</v>
      </c>
      <c r="E25" s="35">
        <f>'PRECIOS TODOS'!B140</f>
        <v>22500</v>
      </c>
      <c r="F25" s="42">
        <f t="shared" si="1"/>
        <v>270000</v>
      </c>
      <c r="G25" s="8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55000000000000004">
      <c r="A26" s="17" t="s">
        <v>73</v>
      </c>
      <c r="B26" s="18" t="s">
        <v>104</v>
      </c>
      <c r="C26" s="19" t="s">
        <v>71</v>
      </c>
      <c r="D26" s="19">
        <v>4</v>
      </c>
      <c r="E26" s="43">
        <f>'PRECIOS TODOS'!B161</f>
        <v>33750</v>
      </c>
      <c r="F26" s="40">
        <f t="shared" si="1"/>
        <v>135000</v>
      </c>
      <c r="G26" s="81">
        <f>SUM(F26:F29)</f>
        <v>1535000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55000000000000004">
      <c r="A27" s="23" t="s">
        <v>73</v>
      </c>
      <c r="B27" s="24" t="s">
        <v>140</v>
      </c>
      <c r="C27" s="25" t="s">
        <v>71</v>
      </c>
      <c r="D27" s="25">
        <v>2</v>
      </c>
      <c r="E27" s="44">
        <f>'PRECIOS TODOS'!B161</f>
        <v>33750</v>
      </c>
      <c r="F27" s="41">
        <f t="shared" si="1"/>
        <v>67500</v>
      </c>
      <c r="G27" s="8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55000000000000004">
      <c r="A28" s="23" t="s">
        <v>73</v>
      </c>
      <c r="B28" s="24" t="s">
        <v>105</v>
      </c>
      <c r="C28" s="25" t="s">
        <v>71</v>
      </c>
      <c r="D28" s="25">
        <v>34</v>
      </c>
      <c r="E28" s="44">
        <f>'PRECIOS TODOS'!B162</f>
        <v>31250</v>
      </c>
      <c r="F28" s="41">
        <f t="shared" si="1"/>
        <v>1062500</v>
      </c>
      <c r="G28" s="8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55000000000000004">
      <c r="A29" s="32" t="s">
        <v>73</v>
      </c>
      <c r="B29" s="33" t="s">
        <v>103</v>
      </c>
      <c r="C29" s="34" t="s">
        <v>71</v>
      </c>
      <c r="D29" s="34">
        <v>12</v>
      </c>
      <c r="E29" s="45">
        <f>'PRECIOS TODOS'!B140</f>
        <v>22500</v>
      </c>
      <c r="F29" s="42">
        <f t="shared" si="1"/>
        <v>270000</v>
      </c>
      <c r="G29" s="8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55000000000000004">
      <c r="A30" s="17" t="s">
        <v>106</v>
      </c>
      <c r="B30" s="18" t="s">
        <v>104</v>
      </c>
      <c r="C30" s="19" t="s">
        <v>71</v>
      </c>
      <c r="D30" s="19">
        <v>4</v>
      </c>
      <c r="E30" s="43">
        <f>'PRECIOS TODOS'!B163</f>
        <v>22500</v>
      </c>
      <c r="F30" s="37">
        <f t="shared" si="1"/>
        <v>90000</v>
      </c>
      <c r="G30" s="81">
        <f>SUM(F30:F33)</f>
        <v>1170000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55000000000000004">
      <c r="A31" s="23" t="s">
        <v>106</v>
      </c>
      <c r="B31" s="24" t="s">
        <v>140</v>
      </c>
      <c r="C31" s="25" t="s">
        <v>71</v>
      </c>
      <c r="D31" s="25">
        <v>2</v>
      </c>
      <c r="E31" s="44">
        <f>'PRECIOS TODOS'!B163</f>
        <v>22500</v>
      </c>
      <c r="F31" s="38">
        <f t="shared" si="1"/>
        <v>45000</v>
      </c>
      <c r="G31" s="8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55000000000000004">
      <c r="A32" s="23" t="s">
        <v>106</v>
      </c>
      <c r="B32" s="24" t="s">
        <v>105</v>
      </c>
      <c r="C32" s="25" t="s">
        <v>71</v>
      </c>
      <c r="D32" s="25">
        <v>34</v>
      </c>
      <c r="E32" s="44">
        <f>'PRECIOS TODOS'!B163</f>
        <v>22500</v>
      </c>
      <c r="F32" s="38">
        <f t="shared" si="1"/>
        <v>765000</v>
      </c>
      <c r="G32" s="8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thickBot="1" x14ac:dyDescent="0.6">
      <c r="A33" s="32" t="s">
        <v>106</v>
      </c>
      <c r="B33" s="33" t="s">
        <v>103</v>
      </c>
      <c r="C33" s="34" t="s">
        <v>71</v>
      </c>
      <c r="D33" s="34">
        <v>12</v>
      </c>
      <c r="E33" s="45">
        <f>'PRECIOS TODOS'!B163</f>
        <v>22500</v>
      </c>
      <c r="F33" s="39">
        <f t="shared" si="1"/>
        <v>270000</v>
      </c>
      <c r="G33" s="8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55000000000000004">
      <c r="A34" s="17" t="s">
        <v>76</v>
      </c>
      <c r="B34" s="18" t="s">
        <v>39</v>
      </c>
      <c r="C34" s="19" t="s">
        <v>107</v>
      </c>
      <c r="D34" s="19">
        <v>8</v>
      </c>
      <c r="E34" s="43">
        <f>'PRECIOS TODOS'!B202</f>
        <v>30239.999999999996</v>
      </c>
      <c r="F34" s="43">
        <f t="shared" ref="F34:F43" si="3">+D34*E34</f>
        <v>241919.99999999997</v>
      </c>
      <c r="G34" s="81">
        <f>SUM(F34:F36)</f>
        <v>1164380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55000000000000004">
      <c r="A35" s="23" t="s">
        <v>76</v>
      </c>
      <c r="B35" s="24" t="s">
        <v>40</v>
      </c>
      <c r="C35" s="25" t="s">
        <v>107</v>
      </c>
      <c r="D35" s="25">
        <v>8</v>
      </c>
      <c r="E35" s="44">
        <f>'PRECIOS TODOS'!B196</f>
        <v>43819.999999999993</v>
      </c>
      <c r="F35" s="44">
        <f t="shared" si="3"/>
        <v>350559.99999999994</v>
      </c>
      <c r="G35" s="8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thickBot="1" x14ac:dyDescent="0.6">
      <c r="A36" s="32" t="s">
        <v>76</v>
      </c>
      <c r="B36" s="33" t="s">
        <v>108</v>
      </c>
      <c r="C36" s="34" t="s">
        <v>109</v>
      </c>
      <c r="D36" s="34">
        <v>50</v>
      </c>
      <c r="E36" s="45">
        <f>'PRECIOS TODOS'!B204</f>
        <v>11438</v>
      </c>
      <c r="F36" s="45">
        <f t="shared" si="3"/>
        <v>571900</v>
      </c>
      <c r="G36" s="8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55000000000000004">
      <c r="A37" s="17" t="s">
        <v>110</v>
      </c>
      <c r="B37" s="18" t="s">
        <v>39</v>
      </c>
      <c r="C37" s="19" t="s">
        <v>107</v>
      </c>
      <c r="D37" s="19">
        <f t="shared" ref="D37:D39" si="4">(D34/4)*3</f>
        <v>6</v>
      </c>
      <c r="E37" s="43">
        <f>'PRECIOS TODOS'!B202</f>
        <v>30239.999999999996</v>
      </c>
      <c r="F37" s="43">
        <f t="shared" si="3"/>
        <v>181439.99999999997</v>
      </c>
      <c r="G37" s="81">
        <f>SUM(F37:F39)</f>
        <v>791805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55000000000000004">
      <c r="A38" s="23" t="s">
        <v>110</v>
      </c>
      <c r="B38" s="24" t="s">
        <v>40</v>
      </c>
      <c r="C38" s="25" t="s">
        <v>107</v>
      </c>
      <c r="D38" s="25">
        <f t="shared" si="4"/>
        <v>6</v>
      </c>
      <c r="E38" s="44">
        <f>'PRECIOS TODOS'!B202</f>
        <v>30239.999999999996</v>
      </c>
      <c r="F38" s="44">
        <f t="shared" si="3"/>
        <v>181439.99999999997</v>
      </c>
      <c r="G38" s="8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thickBot="1" x14ac:dyDescent="0.6">
      <c r="A39" s="32" t="s">
        <v>110</v>
      </c>
      <c r="B39" s="33" t="s">
        <v>108</v>
      </c>
      <c r="C39" s="34" t="s">
        <v>109</v>
      </c>
      <c r="D39" s="34">
        <f t="shared" si="4"/>
        <v>37.5</v>
      </c>
      <c r="E39" s="45">
        <f>'PRECIOS TODOS'!B204</f>
        <v>11438</v>
      </c>
      <c r="F39" s="45">
        <f t="shared" si="3"/>
        <v>428925</v>
      </c>
      <c r="G39" s="8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55000000000000004">
      <c r="A40" s="17" t="s">
        <v>111</v>
      </c>
      <c r="B40" s="18" t="s">
        <v>39</v>
      </c>
      <c r="C40" s="19" t="s">
        <v>107</v>
      </c>
      <c r="D40" s="19">
        <f t="shared" ref="D40:D42" si="5">(D34/2)</f>
        <v>4</v>
      </c>
      <c r="E40" s="43">
        <f>'PRECIOS TODOS'!B202</f>
        <v>30239.999999999996</v>
      </c>
      <c r="F40" s="43">
        <f t="shared" si="3"/>
        <v>120959.99999999999</v>
      </c>
      <c r="G40" s="81">
        <f>SUM(F40:F42)</f>
        <v>997919.99999999988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55000000000000004">
      <c r="A41" s="23" t="s">
        <v>111</v>
      </c>
      <c r="B41" s="24" t="s">
        <v>40</v>
      </c>
      <c r="C41" s="25" t="s">
        <v>107</v>
      </c>
      <c r="D41" s="25">
        <f t="shared" si="5"/>
        <v>4</v>
      </c>
      <c r="E41" s="44">
        <f>'PRECIOS TODOS'!B202</f>
        <v>30239.999999999996</v>
      </c>
      <c r="F41" s="44">
        <f t="shared" si="3"/>
        <v>120959.99999999999</v>
      </c>
      <c r="G41" s="8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55000000000000004">
      <c r="A42" s="32" t="s">
        <v>111</v>
      </c>
      <c r="B42" s="33" t="s">
        <v>108</v>
      </c>
      <c r="C42" s="34" t="s">
        <v>109</v>
      </c>
      <c r="D42" s="34">
        <f t="shared" si="5"/>
        <v>25</v>
      </c>
      <c r="E42" s="45">
        <f>'PRECIOS TODOS'!B203</f>
        <v>30239.999999999996</v>
      </c>
      <c r="F42" s="45">
        <f t="shared" si="3"/>
        <v>755999.99999999988</v>
      </c>
      <c r="G42" s="8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55000000000000004">
      <c r="A43" s="46" t="s">
        <v>112</v>
      </c>
      <c r="B43" s="47" t="s">
        <v>113</v>
      </c>
      <c r="C43" s="48" t="s">
        <v>71</v>
      </c>
      <c r="D43" s="48">
        <f>C2</f>
        <v>180</v>
      </c>
      <c r="E43" s="49">
        <f>'PRECIOS TODOS'!B204</f>
        <v>11438</v>
      </c>
      <c r="F43" s="49">
        <f t="shared" si="3"/>
        <v>2058840</v>
      </c>
      <c r="G43" s="50">
        <f>F43</f>
        <v>2058840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84" t="s">
        <v>114</v>
      </c>
      <c r="B61" s="87" t="s">
        <v>115</v>
      </c>
      <c r="C61" s="51" t="s">
        <v>116</v>
      </c>
      <c r="D61" s="52" t="s">
        <v>141</v>
      </c>
      <c r="E61" s="53" t="s">
        <v>118</v>
      </c>
      <c r="F61" s="54" t="e">
        <f t="shared" ref="F61:F68" si="6">+#REF!</f>
        <v>#REF!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85"/>
      <c r="B62" s="88"/>
      <c r="C62" s="55" t="s">
        <v>119</v>
      </c>
      <c r="D62" s="56" t="s">
        <v>142</v>
      </c>
      <c r="E62" s="57" t="s">
        <v>118</v>
      </c>
      <c r="F62" s="58" t="e">
        <f t="shared" si="6"/>
        <v>#REF!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85"/>
      <c r="B63" s="88"/>
      <c r="C63" s="55" t="s">
        <v>121</v>
      </c>
      <c r="D63" s="56" t="s">
        <v>143</v>
      </c>
      <c r="E63" s="57" t="s">
        <v>118</v>
      </c>
      <c r="F63" s="58" t="e">
        <f t="shared" si="6"/>
        <v>#REF!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85"/>
      <c r="B64" s="89"/>
      <c r="C64" s="59" t="s">
        <v>123</v>
      </c>
      <c r="D64" s="60" t="s">
        <v>144</v>
      </c>
      <c r="E64" s="61" t="s">
        <v>118</v>
      </c>
      <c r="F64" s="62" t="e">
        <f t="shared" si="6"/>
        <v>#REF!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85"/>
      <c r="B65" s="90" t="s">
        <v>125</v>
      </c>
      <c r="C65" s="63" t="s">
        <v>116</v>
      </c>
      <c r="D65" s="64" t="s">
        <v>145</v>
      </c>
      <c r="E65" s="65" t="s">
        <v>118</v>
      </c>
      <c r="F65" s="66" t="e">
        <f t="shared" si="6"/>
        <v>#REF!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85"/>
      <c r="B66" s="88"/>
      <c r="C66" s="67" t="s">
        <v>119</v>
      </c>
      <c r="D66" s="56" t="s">
        <v>146</v>
      </c>
      <c r="E66" s="57" t="s">
        <v>118</v>
      </c>
      <c r="F66" s="58" t="e">
        <f t="shared" si="6"/>
        <v>#REF!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85"/>
      <c r="B67" s="88"/>
      <c r="C67" s="67" t="s">
        <v>121</v>
      </c>
      <c r="D67" s="56" t="s">
        <v>147</v>
      </c>
      <c r="E67" s="57" t="s">
        <v>118</v>
      </c>
      <c r="F67" s="58" t="e">
        <f t="shared" si="6"/>
        <v>#REF!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86"/>
      <c r="B68" s="91"/>
      <c r="C68" s="68" t="s">
        <v>123</v>
      </c>
      <c r="D68" s="69" t="s">
        <v>148</v>
      </c>
      <c r="E68" s="70" t="s">
        <v>118</v>
      </c>
      <c r="F68" s="71" t="e">
        <f t="shared" si="6"/>
        <v>#REF!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/>
    <row r="270" spans="1:26" ht="15.75" customHeight="1" x14ac:dyDescent="0.45"/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1">
    <mergeCell ref="G40:G42"/>
    <mergeCell ref="A61:A68"/>
    <mergeCell ref="B61:B64"/>
    <mergeCell ref="B65:B68"/>
    <mergeCell ref="G12:G19"/>
    <mergeCell ref="G20:G21"/>
    <mergeCell ref="G22:G25"/>
    <mergeCell ref="G26:G29"/>
    <mergeCell ref="G30:G33"/>
    <mergeCell ref="G34:G36"/>
    <mergeCell ref="G37:G39"/>
  </mergeCells>
  <dataValidations count="5">
    <dataValidation type="list" allowBlank="1" showErrorMessage="1" sqref="K6" xr:uid="{00000000-0002-0000-0200-000000000000}">
      <formula1>"1.0,2.0,3.0"</formula1>
    </dataValidation>
    <dataValidation type="list" allowBlank="1" showErrorMessage="1" sqref="J3:K3" xr:uid="{00000000-0002-0000-0200-000001000000}">
      <formula1>$B$4:$B$11</formula1>
    </dataValidation>
    <dataValidation type="list" allowBlank="1" showErrorMessage="1" sqref="J5:K5" xr:uid="{00000000-0002-0000-0200-000002000000}">
      <formula1>"CORDON 20 CM,CORDON 15 CM,CORDON 10 CM"</formula1>
    </dataValidation>
    <dataValidation type="list" allowBlank="1" showErrorMessage="1" sqref="J4:K4" xr:uid="{00000000-0002-0000-0200-000003000000}">
      <formula1>"POSTES OLIMP,POSTES P DIAMANTE,POSTE EUCALIPTO"</formula1>
    </dataValidation>
    <dataValidation type="list" allowBlank="1" showErrorMessage="1" sqref="J6" xr:uid="{00000000-0002-0000-0200-000004000000}">
      <formula1>"1,2,3,0"</formula1>
    </dataValidation>
  </dataValidations>
  <pageMargins left="0.7" right="0.7" top="0.75" bottom="0.75" header="0" footer="0"/>
  <pageSetup orientation="landscape"/>
  <ignoredErrors>
    <ignoredError sqref="E16 E39" formula="1"/>
  </ignoredError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ABF8F"/>
  </sheetPr>
  <dimension ref="A1:Z1000"/>
  <sheetViews>
    <sheetView workbookViewId="0">
      <selection activeCell="I9" sqref="I9"/>
    </sheetView>
  </sheetViews>
  <sheetFormatPr baseColWidth="10" defaultColWidth="12.6171875" defaultRowHeight="15" customHeight="1" x14ac:dyDescent="0.45"/>
  <cols>
    <col min="1" max="1" width="19.234375" customWidth="1"/>
    <col min="2" max="2" width="28.234375" customWidth="1"/>
    <col min="3" max="4" width="9.37890625" customWidth="1"/>
    <col min="5" max="5" width="12.47265625" customWidth="1"/>
    <col min="6" max="6" width="16.76171875" customWidth="1"/>
    <col min="7" max="7" width="13.140625" bestFit="1" customWidth="1"/>
    <col min="8" max="8" width="9.37890625" customWidth="1"/>
    <col min="9" max="9" width="15.85546875" customWidth="1"/>
    <col min="10" max="10" width="20.85546875" customWidth="1"/>
    <col min="11" max="11" width="5.76171875" customWidth="1"/>
    <col min="12" max="12" width="15.234375" customWidth="1"/>
    <col min="13" max="13" width="14.140625" bestFit="1" customWidth="1"/>
  </cols>
  <sheetData>
    <row r="1" spans="1:26" ht="14.25" customHeight="1" x14ac:dyDescent="0.55000000000000004">
      <c r="A1" s="3"/>
      <c r="B1" s="1" t="s">
        <v>56</v>
      </c>
      <c r="C1" s="1" t="s">
        <v>57</v>
      </c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55000000000000004">
      <c r="A2" s="3"/>
      <c r="B2" s="1" t="s">
        <v>58</v>
      </c>
      <c r="C2" s="4">
        <v>180</v>
      </c>
      <c r="D2" s="1"/>
      <c r="E2" s="1"/>
      <c r="F2" s="1"/>
      <c r="G2" s="1"/>
      <c r="H2" s="2"/>
      <c r="I2" s="5" t="s">
        <v>59</v>
      </c>
      <c r="J2" s="6"/>
      <c r="K2" s="2"/>
      <c r="L2" s="7" t="s">
        <v>60</v>
      </c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55000000000000004">
      <c r="A3" s="9" t="s">
        <v>61</v>
      </c>
      <c r="B3" s="10" t="s">
        <v>30</v>
      </c>
      <c r="C3" s="11" t="s">
        <v>62</v>
      </c>
      <c r="D3" s="11" t="s">
        <v>63</v>
      </c>
      <c r="E3" s="11" t="s">
        <v>64</v>
      </c>
      <c r="F3" s="12" t="s">
        <v>65</v>
      </c>
      <c r="G3" s="9" t="s">
        <v>66</v>
      </c>
      <c r="H3" s="2"/>
      <c r="I3" s="13" t="s">
        <v>67</v>
      </c>
      <c r="J3" s="14" t="s">
        <v>149</v>
      </c>
      <c r="K3" s="4"/>
      <c r="L3" s="15">
        <f>SUMIFS(G4:G11,B4:B11,J3)</f>
        <v>912111.55200000003</v>
      </c>
      <c r="M3" s="16" t="s">
        <v>69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55000000000000004">
      <c r="A4" s="17" t="s">
        <v>70</v>
      </c>
      <c r="B4" s="18" t="s">
        <v>149</v>
      </c>
      <c r="C4" s="19" t="s">
        <v>71</v>
      </c>
      <c r="D4" s="19">
        <f t="shared" ref="D4:D11" si="0">$C$2/10</f>
        <v>18</v>
      </c>
      <c r="E4" s="74">
        <f>'PRECIOS TODOS'!B36</f>
        <v>50672.864000000001</v>
      </c>
      <c r="F4" s="20">
        <f t="shared" ref="F4:F33" si="1">D4*E4</f>
        <v>912111.55200000003</v>
      </c>
      <c r="G4" s="21">
        <f t="shared" ref="G4:G11" si="2">F4</f>
        <v>912111.55200000003</v>
      </c>
      <c r="H4" s="2"/>
      <c r="I4" s="13" t="s">
        <v>72</v>
      </c>
      <c r="J4" s="14" t="s">
        <v>106</v>
      </c>
      <c r="K4" s="4"/>
      <c r="L4" s="22">
        <f>SUMIFS(F22:F33,A22:A33,J4)</f>
        <v>1048050</v>
      </c>
      <c r="M4" s="22">
        <f>G12+G43</f>
        <v>5012390.0399999991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55000000000000004">
      <c r="A5" s="23" t="s">
        <v>70</v>
      </c>
      <c r="B5" s="24" t="s">
        <v>150</v>
      </c>
      <c r="C5" s="25" t="s">
        <v>71</v>
      </c>
      <c r="D5" s="25">
        <f t="shared" si="0"/>
        <v>18</v>
      </c>
      <c r="E5" s="75">
        <f>'PRECIOS TODOS'!B37</f>
        <v>62272.407999999996</v>
      </c>
      <c r="F5" s="26">
        <f t="shared" si="1"/>
        <v>1120903.344</v>
      </c>
      <c r="G5" s="27">
        <f t="shared" si="2"/>
        <v>1120903.344</v>
      </c>
      <c r="H5" s="2"/>
      <c r="I5" s="13" t="s">
        <v>75</v>
      </c>
      <c r="J5" s="28" t="s">
        <v>111</v>
      </c>
      <c r="K5" s="29"/>
      <c r="L5" s="22">
        <f>SUMIFS(F34:F42,A34:A42,J5)</f>
        <v>527870</v>
      </c>
      <c r="M5" s="3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55000000000000004">
      <c r="A6" s="23" t="s">
        <v>70</v>
      </c>
      <c r="B6" s="24" t="s">
        <v>151</v>
      </c>
      <c r="C6" s="25" t="s">
        <v>71</v>
      </c>
      <c r="D6" s="25">
        <f t="shared" si="0"/>
        <v>18</v>
      </c>
      <c r="E6" s="75">
        <f>'PRECIOS TODOS'!B39</f>
        <v>72012.907999999996</v>
      </c>
      <c r="F6" s="26">
        <f t="shared" si="1"/>
        <v>1296232.344</v>
      </c>
      <c r="G6" s="27">
        <f t="shared" si="2"/>
        <v>1296232.344</v>
      </c>
      <c r="H6" s="2"/>
      <c r="I6" s="13" t="s">
        <v>78</v>
      </c>
      <c r="J6" s="14">
        <v>0</v>
      </c>
      <c r="K6" s="4"/>
      <c r="L6" s="22">
        <f>G20*J6</f>
        <v>0</v>
      </c>
      <c r="M6" s="3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55000000000000004">
      <c r="A7" s="23" t="s">
        <v>70</v>
      </c>
      <c r="B7" s="24" t="s">
        <v>152</v>
      </c>
      <c r="C7" s="25" t="s">
        <v>71</v>
      </c>
      <c r="D7" s="25">
        <f t="shared" si="0"/>
        <v>18</v>
      </c>
      <c r="E7" s="75">
        <f>'PRECIOS TODOS'!B40</f>
        <v>87798.084000000003</v>
      </c>
      <c r="F7" s="26">
        <f t="shared" si="1"/>
        <v>1580365.5120000001</v>
      </c>
      <c r="G7" s="27">
        <f t="shared" si="2"/>
        <v>1580365.5120000001</v>
      </c>
      <c r="H7" s="2"/>
      <c r="I7" s="13" t="s">
        <v>80</v>
      </c>
      <c r="J7" s="28">
        <f>SUM(L3:L6)+M4</f>
        <v>7500421.5919999992</v>
      </c>
      <c r="K7" s="29"/>
      <c r="L7" s="30"/>
      <c r="M7" s="3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55000000000000004">
      <c r="A8" s="23" t="s">
        <v>70</v>
      </c>
      <c r="B8" s="24" t="s">
        <v>153</v>
      </c>
      <c r="C8" s="25" t="s">
        <v>71</v>
      </c>
      <c r="D8" s="25">
        <f t="shared" si="0"/>
        <v>18</v>
      </c>
      <c r="E8" s="75">
        <f>'PRECIOS TODOS'!B41</f>
        <v>76231.936000000002</v>
      </c>
      <c r="F8" s="26">
        <f t="shared" si="1"/>
        <v>1372174.848</v>
      </c>
      <c r="G8" s="27">
        <f t="shared" si="2"/>
        <v>1372174.848</v>
      </c>
      <c r="H8" s="2"/>
      <c r="I8" s="79" t="s">
        <v>82</v>
      </c>
      <c r="J8" s="80">
        <f>J7/C2</f>
        <v>41669.008844444441</v>
      </c>
      <c r="K8" s="29"/>
      <c r="L8" s="31"/>
      <c r="M8" s="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55000000000000004">
      <c r="A9" s="23" t="s">
        <v>70</v>
      </c>
      <c r="B9" s="24" t="s">
        <v>154</v>
      </c>
      <c r="C9" s="25" t="s">
        <v>71</v>
      </c>
      <c r="D9" s="25">
        <f t="shared" si="0"/>
        <v>18</v>
      </c>
      <c r="E9" s="75">
        <f>'PRECIOS TODOS'!B42</f>
        <v>85382.44</v>
      </c>
      <c r="F9" s="26">
        <f t="shared" si="1"/>
        <v>1536883.92</v>
      </c>
      <c r="G9" s="27">
        <f t="shared" si="2"/>
        <v>1536883.92</v>
      </c>
      <c r="H9" s="2"/>
      <c r="I9" s="13" t="s">
        <v>210</v>
      </c>
      <c r="J9" s="28">
        <f>J8*130%</f>
        <v>54169.711497777775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55000000000000004">
      <c r="A10" s="23" t="s">
        <v>70</v>
      </c>
      <c r="B10" s="24" t="s">
        <v>155</v>
      </c>
      <c r="C10" s="25" t="s">
        <v>71</v>
      </c>
      <c r="D10" s="25">
        <f t="shared" si="0"/>
        <v>18</v>
      </c>
      <c r="E10" s="75">
        <f>'PRECIOS TODOS'!B44</f>
        <v>115004.692</v>
      </c>
      <c r="F10" s="26">
        <f t="shared" si="1"/>
        <v>2070084.456</v>
      </c>
      <c r="G10" s="27">
        <f t="shared" si="2"/>
        <v>2070084.456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55000000000000004">
      <c r="A11" s="32" t="s">
        <v>70</v>
      </c>
      <c r="B11" s="33" t="s">
        <v>156</v>
      </c>
      <c r="C11" s="34" t="s">
        <v>71</v>
      </c>
      <c r="D11" s="34">
        <f t="shared" si="0"/>
        <v>18</v>
      </c>
      <c r="E11" s="75">
        <f>'PRECIOS TODOS'!B45</f>
        <v>121394.46</v>
      </c>
      <c r="F11" s="35">
        <f t="shared" si="1"/>
        <v>2185100.2800000003</v>
      </c>
      <c r="G11" s="36">
        <f t="shared" si="2"/>
        <v>2185100.2800000003</v>
      </c>
      <c r="H11" s="2"/>
      <c r="I11" s="2"/>
      <c r="J11" s="76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55000000000000004">
      <c r="A12" s="17" t="s">
        <v>86</v>
      </c>
      <c r="B12" s="18" t="s">
        <v>87</v>
      </c>
      <c r="C12" s="19" t="s">
        <v>71</v>
      </c>
      <c r="D12" s="19">
        <f>D13*3</f>
        <v>36</v>
      </c>
      <c r="E12" s="20">
        <f>'PRECIOS TODOS'!B185</f>
        <v>12337.5</v>
      </c>
      <c r="F12" s="37">
        <f t="shared" si="1"/>
        <v>444150</v>
      </c>
      <c r="G12" s="81">
        <f>SUM(F12:F19)</f>
        <v>2953550.0399999996</v>
      </c>
      <c r="H12" s="2"/>
      <c r="I12" s="2"/>
      <c r="J12" s="76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55000000000000004">
      <c r="A13" s="23" t="s">
        <v>86</v>
      </c>
      <c r="B13" s="24" t="s">
        <v>88</v>
      </c>
      <c r="C13" s="25" t="s">
        <v>71</v>
      </c>
      <c r="D13" s="25">
        <v>12</v>
      </c>
      <c r="E13" s="26">
        <f>'PRECIOS TODOS'!B190</f>
        <v>5456.4533333333338</v>
      </c>
      <c r="F13" s="38">
        <f t="shared" si="1"/>
        <v>65477.440000000002</v>
      </c>
      <c r="G13" s="8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55000000000000004">
      <c r="A14" s="23" t="s">
        <v>86</v>
      </c>
      <c r="B14" s="24" t="s">
        <v>89</v>
      </c>
      <c r="C14" s="25" t="s">
        <v>71</v>
      </c>
      <c r="D14" s="25">
        <v>6</v>
      </c>
      <c r="E14" s="26">
        <f>'PRECIOS TODOS'!B181</f>
        <v>12337.5</v>
      </c>
      <c r="F14" s="38">
        <f t="shared" si="1"/>
        <v>74025</v>
      </c>
      <c r="G14" s="8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55000000000000004">
      <c r="A15" s="23" t="s">
        <v>86</v>
      </c>
      <c r="B15" s="24" t="s">
        <v>90</v>
      </c>
      <c r="C15" s="25" t="s">
        <v>71</v>
      </c>
      <c r="D15" s="25">
        <v>6</v>
      </c>
      <c r="E15" s="26">
        <f>'PRECIOS TODOS'!B194</f>
        <v>1329.9999999999998</v>
      </c>
      <c r="F15" s="38">
        <f t="shared" si="1"/>
        <v>7979.9999999999982</v>
      </c>
      <c r="G15" s="8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55000000000000004">
      <c r="A16" s="23" t="s">
        <v>86</v>
      </c>
      <c r="B16" s="24" t="s">
        <v>138</v>
      </c>
      <c r="C16" s="25" t="s">
        <v>92</v>
      </c>
      <c r="D16" s="25">
        <v>550</v>
      </c>
      <c r="E16" s="26">
        <f>'PRECIOS TODOS'!B188</f>
        <v>3105.4799999999996</v>
      </c>
      <c r="F16" s="38">
        <f t="shared" si="1"/>
        <v>1708013.9999999998</v>
      </c>
      <c r="G16" s="82"/>
      <c r="H16" s="2"/>
      <c r="I16" s="2"/>
      <c r="J16" s="77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55000000000000004">
      <c r="A17" s="23" t="s">
        <v>86</v>
      </c>
      <c r="B17" s="24" t="s">
        <v>93</v>
      </c>
      <c r="C17" s="25" t="s">
        <v>94</v>
      </c>
      <c r="D17" s="25">
        <v>2</v>
      </c>
      <c r="E17" s="26">
        <f>'PRECIOS TODOS'!B194</f>
        <v>1329.9999999999998</v>
      </c>
      <c r="F17" s="38">
        <f t="shared" si="1"/>
        <v>2659.9999999999995</v>
      </c>
      <c r="G17" s="8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55000000000000004">
      <c r="A18" s="23" t="s">
        <v>86</v>
      </c>
      <c r="B18" s="24" t="s">
        <v>95</v>
      </c>
      <c r="C18" s="25" t="s">
        <v>94</v>
      </c>
      <c r="D18" s="25">
        <v>8</v>
      </c>
      <c r="E18" s="26">
        <f>'PRECIOS TODOS'!B192</f>
        <v>844.2</v>
      </c>
      <c r="F18" s="38">
        <f t="shared" si="1"/>
        <v>6753.6</v>
      </c>
      <c r="G18" s="8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55000000000000004">
      <c r="A19" s="32" t="s">
        <v>86</v>
      </c>
      <c r="B19" s="33" t="s">
        <v>96</v>
      </c>
      <c r="C19" s="34" t="s">
        <v>71</v>
      </c>
      <c r="D19" s="34">
        <v>180</v>
      </c>
      <c r="E19" s="35">
        <f>'PRECIOS TODOS'!B205</f>
        <v>3580.4999999999991</v>
      </c>
      <c r="F19" s="39">
        <f t="shared" si="1"/>
        <v>644489.99999999988</v>
      </c>
      <c r="G19" s="8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55000000000000004">
      <c r="A20" s="17" t="s">
        <v>97</v>
      </c>
      <c r="B20" s="18" t="s">
        <v>98</v>
      </c>
      <c r="C20" s="19" t="s">
        <v>92</v>
      </c>
      <c r="D20" s="19">
        <f>C2</f>
        <v>180</v>
      </c>
      <c r="E20" s="20">
        <f>'PRECIOS TODOS'!B191*90%</f>
        <v>1168.02</v>
      </c>
      <c r="F20" s="20">
        <f t="shared" si="1"/>
        <v>210243.6</v>
      </c>
      <c r="G20" s="81">
        <f>SUM(F20:F21)</f>
        <v>284268.59999999998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55000000000000004">
      <c r="A21" s="32" t="s">
        <v>97</v>
      </c>
      <c r="B21" s="33" t="s">
        <v>89</v>
      </c>
      <c r="C21" s="34" t="s">
        <v>71</v>
      </c>
      <c r="D21" s="34">
        <v>6</v>
      </c>
      <c r="E21" s="35">
        <f>'PRECIOS TODOS'!B181</f>
        <v>12337.5</v>
      </c>
      <c r="F21" s="35">
        <f t="shared" si="1"/>
        <v>74025</v>
      </c>
      <c r="G21" s="8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55000000000000004">
      <c r="A22" s="19" t="s">
        <v>99</v>
      </c>
      <c r="B22" s="18" t="s">
        <v>104</v>
      </c>
      <c r="C22" s="19" t="s">
        <v>71</v>
      </c>
      <c r="D22" s="19">
        <v>4</v>
      </c>
      <c r="E22" s="20">
        <f>'PRECIOS TODOS'!B143</f>
        <v>32000</v>
      </c>
      <c r="F22" s="40">
        <f t="shared" si="1"/>
        <v>128000</v>
      </c>
      <c r="G22" s="81">
        <f>SUM(F22:F25)</f>
        <v>1306000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55000000000000004">
      <c r="A23" s="25" t="s">
        <v>99</v>
      </c>
      <c r="B23" s="24" t="s">
        <v>139</v>
      </c>
      <c r="C23" s="25" t="s">
        <v>71</v>
      </c>
      <c r="D23" s="25">
        <v>2</v>
      </c>
      <c r="E23" s="26">
        <f>'PRECIOS TODOS'!B144</f>
        <v>29000</v>
      </c>
      <c r="F23" s="41">
        <f t="shared" si="1"/>
        <v>58000</v>
      </c>
      <c r="G23" s="8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55000000000000004">
      <c r="A24" s="25" t="s">
        <v>99</v>
      </c>
      <c r="B24" s="24" t="s">
        <v>105</v>
      </c>
      <c r="C24" s="25" t="s">
        <v>71</v>
      </c>
      <c r="D24" s="25">
        <v>34</v>
      </c>
      <c r="E24" s="26">
        <f>'PRECIOS TODOS'!B145</f>
        <v>25000</v>
      </c>
      <c r="F24" s="41">
        <f t="shared" si="1"/>
        <v>850000</v>
      </c>
      <c r="G24" s="8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55000000000000004">
      <c r="A25" s="34" t="s">
        <v>99</v>
      </c>
      <c r="B25" s="33" t="s">
        <v>103</v>
      </c>
      <c r="C25" s="34" t="s">
        <v>71</v>
      </c>
      <c r="D25" s="34">
        <v>12</v>
      </c>
      <c r="E25" s="35">
        <f>'PRECIOS TODOS'!B140</f>
        <v>22500</v>
      </c>
      <c r="F25" s="42">
        <f t="shared" si="1"/>
        <v>270000</v>
      </c>
      <c r="G25" s="8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55000000000000004">
      <c r="A26" s="17" t="s">
        <v>73</v>
      </c>
      <c r="B26" s="18" t="s">
        <v>104</v>
      </c>
      <c r="C26" s="19" t="s">
        <v>71</v>
      </c>
      <c r="D26" s="19">
        <v>4</v>
      </c>
      <c r="E26" s="43">
        <f>'PRECIOS TODOS'!B166</f>
        <v>33750</v>
      </c>
      <c r="F26" s="40">
        <f t="shared" si="1"/>
        <v>135000</v>
      </c>
      <c r="G26" s="81">
        <f>SUM(F26:F29)</f>
        <v>1535000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55000000000000004">
      <c r="A27" s="23" t="s">
        <v>73</v>
      </c>
      <c r="B27" s="24" t="s">
        <v>101</v>
      </c>
      <c r="C27" s="25" t="s">
        <v>71</v>
      </c>
      <c r="D27" s="25">
        <v>2</v>
      </c>
      <c r="E27" s="44">
        <f>'PRECIOS TODOS'!B166</f>
        <v>33750</v>
      </c>
      <c r="F27" s="41">
        <f t="shared" si="1"/>
        <v>67500</v>
      </c>
      <c r="G27" s="8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55000000000000004">
      <c r="A28" s="23" t="s">
        <v>73</v>
      </c>
      <c r="B28" s="24" t="s">
        <v>105</v>
      </c>
      <c r="C28" s="25" t="s">
        <v>71</v>
      </c>
      <c r="D28" s="25">
        <v>34</v>
      </c>
      <c r="E28" s="44">
        <f>'PRECIOS TODOS'!B150</f>
        <v>31250</v>
      </c>
      <c r="F28" s="41">
        <f t="shared" si="1"/>
        <v>1062500</v>
      </c>
      <c r="G28" s="8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55000000000000004">
      <c r="A29" s="32" t="s">
        <v>73</v>
      </c>
      <c r="B29" s="33" t="s">
        <v>103</v>
      </c>
      <c r="C29" s="34" t="s">
        <v>71</v>
      </c>
      <c r="D29" s="34">
        <v>12</v>
      </c>
      <c r="E29" s="45">
        <f>'PRECIOS TODOS'!B140</f>
        <v>22500</v>
      </c>
      <c r="F29" s="42">
        <f t="shared" si="1"/>
        <v>270000</v>
      </c>
      <c r="G29" s="8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55000000000000004">
      <c r="A30" s="17" t="s">
        <v>106</v>
      </c>
      <c r="B30" s="18" t="s">
        <v>104</v>
      </c>
      <c r="C30" s="19" t="s">
        <v>71</v>
      </c>
      <c r="D30" s="19">
        <v>4</v>
      </c>
      <c r="E30" s="43">
        <f>'PRECIOS TODOS'!B163</f>
        <v>22500</v>
      </c>
      <c r="F30" s="37">
        <f t="shared" si="1"/>
        <v>90000</v>
      </c>
      <c r="G30" s="81">
        <f>SUM(F30:F33)</f>
        <v>1048050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55000000000000004">
      <c r="A31" s="23" t="s">
        <v>106</v>
      </c>
      <c r="B31" s="24" t="s">
        <v>101</v>
      </c>
      <c r="C31" s="25" t="s">
        <v>71</v>
      </c>
      <c r="D31" s="25">
        <v>2</v>
      </c>
      <c r="E31" s="44">
        <f>'PRECIOS TODOS'!B163</f>
        <v>22500</v>
      </c>
      <c r="F31" s="38">
        <f t="shared" si="1"/>
        <v>45000</v>
      </c>
      <c r="G31" s="8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55000000000000004">
      <c r="A32" s="23" t="s">
        <v>106</v>
      </c>
      <c r="B32" s="24" t="s">
        <v>105</v>
      </c>
      <c r="C32" s="25" t="s">
        <v>71</v>
      </c>
      <c r="D32" s="25">
        <v>34</v>
      </c>
      <c r="E32" s="44">
        <f>'PRECIOS TODOS'!B163</f>
        <v>22500</v>
      </c>
      <c r="F32" s="38">
        <f t="shared" si="1"/>
        <v>765000</v>
      </c>
      <c r="G32" s="8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55000000000000004">
      <c r="A33" s="32" t="s">
        <v>106</v>
      </c>
      <c r="B33" s="33" t="s">
        <v>103</v>
      </c>
      <c r="C33" s="34" t="s">
        <v>71</v>
      </c>
      <c r="D33" s="34">
        <v>12</v>
      </c>
      <c r="E33" s="45">
        <f>'PRECIOS TODOS'!B181</f>
        <v>12337.5</v>
      </c>
      <c r="F33" s="39">
        <f t="shared" si="1"/>
        <v>148050</v>
      </c>
      <c r="G33" s="8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55000000000000004">
      <c r="A34" s="17" t="s">
        <v>76</v>
      </c>
      <c r="B34" s="18" t="s">
        <v>39</v>
      </c>
      <c r="C34" s="19" t="s">
        <v>107</v>
      </c>
      <c r="D34" s="19">
        <v>8</v>
      </c>
      <c r="E34" s="43">
        <f>'PRECIOS TODOS'!B202</f>
        <v>30239.999999999996</v>
      </c>
      <c r="F34" s="43">
        <f t="shared" ref="F34:F43" si="3">+D34*E34</f>
        <v>241919.99999999997</v>
      </c>
      <c r="G34" s="81">
        <f>SUM(F34:F36)</f>
        <v>1164380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55000000000000004">
      <c r="A35" s="23" t="s">
        <v>76</v>
      </c>
      <c r="B35" s="24" t="s">
        <v>40</v>
      </c>
      <c r="C35" s="25" t="s">
        <v>107</v>
      </c>
      <c r="D35" s="25">
        <v>8</v>
      </c>
      <c r="E35" s="44">
        <f>'PRECIOS TODOS'!B196</f>
        <v>43819.999999999993</v>
      </c>
      <c r="F35" s="44">
        <f t="shared" si="3"/>
        <v>350559.99999999994</v>
      </c>
      <c r="G35" s="8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55000000000000004">
      <c r="A36" s="32" t="s">
        <v>76</v>
      </c>
      <c r="B36" s="33" t="s">
        <v>108</v>
      </c>
      <c r="C36" s="34" t="s">
        <v>109</v>
      </c>
      <c r="D36" s="34">
        <v>50</v>
      </c>
      <c r="E36" s="45">
        <f>'PRECIOS TODOS'!B204</f>
        <v>11438</v>
      </c>
      <c r="F36" s="45">
        <f t="shared" si="3"/>
        <v>571900</v>
      </c>
      <c r="G36" s="8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55000000000000004">
      <c r="A37" s="17" t="s">
        <v>110</v>
      </c>
      <c r="B37" s="18" t="s">
        <v>39</v>
      </c>
      <c r="C37" s="19" t="s">
        <v>107</v>
      </c>
      <c r="D37" s="19">
        <f t="shared" ref="D37:D39" si="4">(D34/4)*3</f>
        <v>6</v>
      </c>
      <c r="E37" s="43">
        <f>'PRECIOS TODOS'!B202</f>
        <v>30239.999999999996</v>
      </c>
      <c r="F37" s="43">
        <f t="shared" si="3"/>
        <v>181439.99999999997</v>
      </c>
      <c r="G37" s="81">
        <f>SUM(F37:F39)</f>
        <v>791805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55000000000000004">
      <c r="A38" s="23" t="s">
        <v>110</v>
      </c>
      <c r="B38" s="24" t="s">
        <v>40</v>
      </c>
      <c r="C38" s="25" t="s">
        <v>107</v>
      </c>
      <c r="D38" s="25">
        <f t="shared" si="4"/>
        <v>6</v>
      </c>
      <c r="E38" s="44">
        <f>'PRECIOS TODOS'!B202</f>
        <v>30239.999999999996</v>
      </c>
      <c r="F38" s="44">
        <f t="shared" si="3"/>
        <v>181439.99999999997</v>
      </c>
      <c r="G38" s="8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55000000000000004">
      <c r="A39" s="32" t="s">
        <v>110</v>
      </c>
      <c r="B39" s="33" t="s">
        <v>108</v>
      </c>
      <c r="C39" s="34" t="s">
        <v>109</v>
      </c>
      <c r="D39" s="34">
        <f t="shared" si="4"/>
        <v>37.5</v>
      </c>
      <c r="E39" s="45">
        <f>'PRECIOS TODOS'!B204</f>
        <v>11438</v>
      </c>
      <c r="F39" s="45">
        <f t="shared" si="3"/>
        <v>428925</v>
      </c>
      <c r="G39" s="8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55000000000000004">
      <c r="A40" s="17" t="s">
        <v>111</v>
      </c>
      <c r="B40" s="18" t="s">
        <v>39</v>
      </c>
      <c r="C40" s="19" t="s">
        <v>107</v>
      </c>
      <c r="D40" s="19">
        <f t="shared" ref="D40:D42" si="5">(D34/2)</f>
        <v>4</v>
      </c>
      <c r="E40" s="43">
        <f>'PRECIOS TODOS'!B202</f>
        <v>30239.999999999996</v>
      </c>
      <c r="F40" s="43">
        <f t="shared" si="3"/>
        <v>120959.99999999999</v>
      </c>
      <c r="G40" s="81">
        <f>SUM(F40:F42)</f>
        <v>527870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55000000000000004">
      <c r="A41" s="23" t="s">
        <v>111</v>
      </c>
      <c r="B41" s="24" t="s">
        <v>40</v>
      </c>
      <c r="C41" s="25" t="s">
        <v>107</v>
      </c>
      <c r="D41" s="25">
        <f t="shared" si="5"/>
        <v>4</v>
      </c>
      <c r="E41" s="44">
        <f>'PRECIOS TODOS'!B202</f>
        <v>30239.999999999996</v>
      </c>
      <c r="F41" s="44">
        <f t="shared" si="3"/>
        <v>120959.99999999999</v>
      </c>
      <c r="G41" s="8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55000000000000004">
      <c r="A42" s="32" t="s">
        <v>111</v>
      </c>
      <c r="B42" s="33" t="s">
        <v>108</v>
      </c>
      <c r="C42" s="34" t="s">
        <v>109</v>
      </c>
      <c r="D42" s="34">
        <f t="shared" si="5"/>
        <v>25</v>
      </c>
      <c r="E42" s="45">
        <f>'PRECIOS TODOS'!B204</f>
        <v>11438</v>
      </c>
      <c r="F42" s="45">
        <f t="shared" si="3"/>
        <v>285950</v>
      </c>
      <c r="G42" s="8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55000000000000004">
      <c r="A43" s="46" t="s">
        <v>112</v>
      </c>
      <c r="B43" s="47" t="s">
        <v>113</v>
      </c>
      <c r="C43" s="48" t="s">
        <v>71</v>
      </c>
      <c r="D43" s="48">
        <f>C2</f>
        <v>180</v>
      </c>
      <c r="E43" s="49">
        <f>'PRECIOS TODOS'!B204</f>
        <v>11438</v>
      </c>
      <c r="F43" s="49">
        <f t="shared" si="3"/>
        <v>2058840</v>
      </c>
      <c r="G43" s="50">
        <f>F43</f>
        <v>2058840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84" t="s">
        <v>114</v>
      </c>
      <c r="B61" s="87" t="s">
        <v>115</v>
      </c>
      <c r="C61" s="51" t="s">
        <v>116</v>
      </c>
      <c r="D61" s="52" t="s">
        <v>157</v>
      </c>
      <c r="E61" s="53" t="s">
        <v>118</v>
      </c>
      <c r="F61" s="54" t="e">
        <f t="shared" ref="F61:F68" si="6">+#REF!</f>
        <v>#REF!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85"/>
      <c r="B62" s="88"/>
      <c r="C62" s="55" t="s">
        <v>119</v>
      </c>
      <c r="D62" s="56" t="s">
        <v>158</v>
      </c>
      <c r="E62" s="57" t="s">
        <v>118</v>
      </c>
      <c r="F62" s="58" t="e">
        <f t="shared" si="6"/>
        <v>#REF!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85"/>
      <c r="B63" s="88"/>
      <c r="C63" s="55" t="s">
        <v>121</v>
      </c>
      <c r="D63" s="56" t="s">
        <v>159</v>
      </c>
      <c r="E63" s="57" t="s">
        <v>118</v>
      </c>
      <c r="F63" s="58" t="e">
        <f t="shared" si="6"/>
        <v>#REF!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85"/>
      <c r="B64" s="89"/>
      <c r="C64" s="59" t="s">
        <v>123</v>
      </c>
      <c r="D64" s="60" t="s">
        <v>160</v>
      </c>
      <c r="E64" s="61" t="s">
        <v>118</v>
      </c>
      <c r="F64" s="62" t="e">
        <f t="shared" si="6"/>
        <v>#REF!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85"/>
      <c r="B65" s="90" t="s">
        <v>125</v>
      </c>
      <c r="C65" s="63" t="s">
        <v>116</v>
      </c>
      <c r="D65" s="64" t="s">
        <v>161</v>
      </c>
      <c r="E65" s="65" t="s">
        <v>118</v>
      </c>
      <c r="F65" s="66" t="e">
        <f t="shared" si="6"/>
        <v>#REF!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85"/>
      <c r="B66" s="88"/>
      <c r="C66" s="67" t="s">
        <v>119</v>
      </c>
      <c r="D66" s="56" t="s">
        <v>162</v>
      </c>
      <c r="E66" s="57" t="s">
        <v>118</v>
      </c>
      <c r="F66" s="58" t="e">
        <f t="shared" si="6"/>
        <v>#REF!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85"/>
      <c r="B67" s="88"/>
      <c r="C67" s="67" t="s">
        <v>121</v>
      </c>
      <c r="D67" s="56" t="s">
        <v>163</v>
      </c>
      <c r="E67" s="57" t="s">
        <v>118</v>
      </c>
      <c r="F67" s="58" t="e">
        <f t="shared" si="6"/>
        <v>#REF!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86"/>
      <c r="B68" s="91"/>
      <c r="C68" s="68" t="s">
        <v>123</v>
      </c>
      <c r="D68" s="69" t="s">
        <v>164</v>
      </c>
      <c r="E68" s="70" t="s">
        <v>118</v>
      </c>
      <c r="F68" s="71" t="e">
        <f t="shared" si="6"/>
        <v>#REF!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/>
    <row r="270" spans="1:26" ht="15.75" customHeight="1" x14ac:dyDescent="0.45"/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1">
    <mergeCell ref="G40:G42"/>
    <mergeCell ref="A61:A68"/>
    <mergeCell ref="B61:B64"/>
    <mergeCell ref="B65:B68"/>
    <mergeCell ref="G12:G19"/>
    <mergeCell ref="G20:G21"/>
    <mergeCell ref="G22:G25"/>
    <mergeCell ref="G26:G29"/>
    <mergeCell ref="G30:G33"/>
    <mergeCell ref="G34:G36"/>
    <mergeCell ref="G37:G39"/>
  </mergeCells>
  <dataValidations count="5">
    <dataValidation type="list" allowBlank="1" showErrorMessage="1" sqref="K6" xr:uid="{00000000-0002-0000-0300-000000000000}">
      <formula1>"1.0,2.0,3.0"</formula1>
    </dataValidation>
    <dataValidation type="list" allowBlank="1" showErrorMessage="1" sqref="J3:K3" xr:uid="{00000000-0002-0000-0300-000001000000}">
      <formula1>$B$4:$B$11</formula1>
    </dataValidation>
    <dataValidation type="list" allowBlank="1" showErrorMessage="1" sqref="J5:K5" xr:uid="{00000000-0002-0000-0300-000002000000}">
      <formula1>"CORDON 20 CM,CORDON 15 CM,CORDON 10 CM"</formula1>
    </dataValidation>
    <dataValidation type="list" allowBlank="1" showErrorMessage="1" sqref="J4:K4" xr:uid="{00000000-0002-0000-0300-000003000000}">
      <formula1>"POSTES OLIMP,POSTES P DIAMANTE,POSTE EUCALIPTO"</formula1>
    </dataValidation>
    <dataValidation type="list" allowBlank="1" showErrorMessage="1" sqref="J6" xr:uid="{00000000-0002-0000-0300-000004000000}">
      <formula1>"1,2,3,0"</formula1>
    </dataValidation>
  </dataValidations>
  <pageMargins left="0.7" right="0.7" top="0.75" bottom="0.75" header="0" footer="0"/>
  <pageSetup orientation="landscape"/>
  <ignoredErrors>
    <ignoredError sqref="E39 E16" formula="1"/>
  </ignoredError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FF00"/>
  </sheetPr>
  <dimension ref="A1:Z1000"/>
  <sheetViews>
    <sheetView tabSelected="1" workbookViewId="0">
      <selection activeCell="H35" sqref="H35"/>
    </sheetView>
  </sheetViews>
  <sheetFormatPr baseColWidth="10" defaultColWidth="12.6171875" defaultRowHeight="15" customHeight="1" x14ac:dyDescent="0.45"/>
  <cols>
    <col min="1" max="1" width="19.234375" customWidth="1"/>
    <col min="2" max="2" width="28.234375" customWidth="1"/>
    <col min="3" max="4" width="9.37890625" customWidth="1"/>
    <col min="5" max="5" width="12.47265625" customWidth="1"/>
    <col min="6" max="6" width="16.76171875" customWidth="1"/>
    <col min="7" max="7" width="12.76171875" bestFit="1" customWidth="1"/>
    <col min="8" max="8" width="9.37890625" customWidth="1"/>
    <col min="9" max="9" width="15.85546875" customWidth="1"/>
    <col min="10" max="10" width="20.85546875" customWidth="1"/>
    <col min="11" max="11" width="5.76171875" customWidth="1"/>
    <col min="12" max="12" width="15.5234375" bestFit="1" customWidth="1"/>
    <col min="13" max="13" width="13.76171875" bestFit="1" customWidth="1"/>
  </cols>
  <sheetData>
    <row r="1" spans="1:26" ht="14.25" customHeight="1" x14ac:dyDescent="0.55000000000000004">
      <c r="A1" s="3"/>
      <c r="B1" s="1" t="s">
        <v>56</v>
      </c>
      <c r="C1" s="1" t="s">
        <v>57</v>
      </c>
      <c r="D1" s="1"/>
      <c r="E1" s="1"/>
      <c r="F1" s="1"/>
      <c r="G1" s="1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25" customHeight="1" x14ac:dyDescent="0.55000000000000004">
      <c r="A2" s="3"/>
      <c r="B2" s="1" t="s">
        <v>58</v>
      </c>
      <c r="C2" s="4">
        <v>180</v>
      </c>
      <c r="D2" s="1"/>
      <c r="E2" s="1"/>
      <c r="F2" s="1"/>
      <c r="G2" s="1"/>
      <c r="H2" s="2"/>
      <c r="I2" s="5" t="s">
        <v>59</v>
      </c>
      <c r="J2" s="6"/>
      <c r="K2" s="2"/>
      <c r="L2" s="7" t="s">
        <v>60</v>
      </c>
      <c r="M2" s="8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25" customHeight="1" x14ac:dyDescent="0.55000000000000004">
      <c r="A3" s="9" t="s">
        <v>61</v>
      </c>
      <c r="B3" s="10" t="s">
        <v>30</v>
      </c>
      <c r="C3" s="11" t="s">
        <v>62</v>
      </c>
      <c r="D3" s="11" t="s">
        <v>63</v>
      </c>
      <c r="E3" s="11" t="s">
        <v>64</v>
      </c>
      <c r="F3" s="12" t="s">
        <v>65</v>
      </c>
      <c r="G3" s="9" t="s">
        <v>66</v>
      </c>
      <c r="H3" s="2"/>
      <c r="I3" s="13" t="s">
        <v>67</v>
      </c>
      <c r="J3" s="14" t="s">
        <v>165</v>
      </c>
      <c r="K3" s="4"/>
      <c r="L3" s="15">
        <f>SUMIFS(G4:G11,B4:B11,J3)</f>
        <v>721980</v>
      </c>
      <c r="M3" s="16" t="s">
        <v>69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25" customHeight="1" x14ac:dyDescent="0.55000000000000004">
      <c r="A4" s="17" t="s">
        <v>70</v>
      </c>
      <c r="B4" s="18" t="s">
        <v>165</v>
      </c>
      <c r="C4" s="19" t="s">
        <v>71</v>
      </c>
      <c r="D4" s="19">
        <f t="shared" ref="D4:D11" si="0">$C$2/10</f>
        <v>18</v>
      </c>
      <c r="E4" s="74">
        <f>'PRECIOS TODOS'!B52</f>
        <v>40110</v>
      </c>
      <c r="F4" s="20">
        <f t="shared" ref="F4:F33" si="1">D4*E4</f>
        <v>721980</v>
      </c>
      <c r="G4" s="21">
        <f t="shared" ref="G4:G11" si="2">F4</f>
        <v>721980</v>
      </c>
      <c r="H4" s="2"/>
      <c r="I4" s="13" t="s">
        <v>72</v>
      </c>
      <c r="J4" s="14" t="s">
        <v>106</v>
      </c>
      <c r="K4" s="4"/>
      <c r="L4" s="22">
        <f>SUMIFS(F22:F33,A22:A33,J4)</f>
        <v>1048050</v>
      </c>
      <c r="M4" s="22">
        <f>G12+G43</f>
        <v>4422348.84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25" customHeight="1" x14ac:dyDescent="0.55000000000000004">
      <c r="A5" s="23" t="s">
        <v>70</v>
      </c>
      <c r="B5" s="24" t="s">
        <v>166</v>
      </c>
      <c r="C5" s="25" t="s">
        <v>71</v>
      </c>
      <c r="D5" s="25">
        <f t="shared" si="0"/>
        <v>18</v>
      </c>
      <c r="E5" s="75">
        <f>'PRECIOS TODOS'!B53</f>
        <v>47950</v>
      </c>
      <c r="F5" s="26">
        <f t="shared" si="1"/>
        <v>863100</v>
      </c>
      <c r="G5" s="27">
        <f t="shared" si="2"/>
        <v>863100</v>
      </c>
      <c r="H5" s="2"/>
      <c r="I5" s="13" t="s">
        <v>75</v>
      </c>
      <c r="J5" s="28" t="s">
        <v>111</v>
      </c>
      <c r="K5" s="29"/>
      <c r="L5" s="22">
        <f>SUMIFS(F34:F42,A34:A42,J5)</f>
        <v>997919.99999999988</v>
      </c>
      <c r="M5" s="30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25" customHeight="1" x14ac:dyDescent="0.55000000000000004">
      <c r="A6" s="23" t="s">
        <v>70</v>
      </c>
      <c r="B6" s="24" t="s">
        <v>167</v>
      </c>
      <c r="C6" s="25" t="s">
        <v>71</v>
      </c>
      <c r="D6" s="25">
        <f t="shared" si="0"/>
        <v>18</v>
      </c>
      <c r="E6" s="75">
        <f>'PRECIOS TODOS'!B55</f>
        <v>55240</v>
      </c>
      <c r="F6" s="26">
        <f t="shared" si="1"/>
        <v>994320</v>
      </c>
      <c r="G6" s="27">
        <f t="shared" si="2"/>
        <v>994320</v>
      </c>
      <c r="H6" s="2"/>
      <c r="I6" s="13" t="s">
        <v>78</v>
      </c>
      <c r="J6" s="14">
        <v>0</v>
      </c>
      <c r="K6" s="4"/>
      <c r="L6" s="22">
        <f>G20*J6</f>
        <v>0</v>
      </c>
      <c r="M6" s="30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25" customHeight="1" x14ac:dyDescent="0.55000000000000004">
      <c r="A7" s="23" t="s">
        <v>70</v>
      </c>
      <c r="B7" s="24" t="s">
        <v>168</v>
      </c>
      <c r="C7" s="25" t="s">
        <v>71</v>
      </c>
      <c r="D7" s="25">
        <f t="shared" si="0"/>
        <v>18</v>
      </c>
      <c r="E7" s="75">
        <f>'PRECIOS TODOS'!B56</f>
        <v>65340</v>
      </c>
      <c r="F7" s="26">
        <f t="shared" si="1"/>
        <v>1176120</v>
      </c>
      <c r="G7" s="27">
        <f t="shared" si="2"/>
        <v>1176120</v>
      </c>
      <c r="H7" s="2"/>
      <c r="I7" s="13" t="s">
        <v>80</v>
      </c>
      <c r="J7" s="28">
        <f>SUM(L3:L6)+M4</f>
        <v>7190298.8399999999</v>
      </c>
      <c r="K7" s="29"/>
      <c r="L7" s="30"/>
      <c r="M7" s="30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25" customHeight="1" x14ac:dyDescent="0.55000000000000004">
      <c r="A8" s="23" t="s">
        <v>70</v>
      </c>
      <c r="B8" s="24" t="s">
        <v>169</v>
      </c>
      <c r="C8" s="25" t="s">
        <v>71</v>
      </c>
      <c r="D8" s="25">
        <f t="shared" si="0"/>
        <v>18</v>
      </c>
      <c r="E8" s="75">
        <f>'PRECIOS TODOS'!B57</f>
        <v>55820</v>
      </c>
      <c r="F8" s="26">
        <f t="shared" si="1"/>
        <v>1004760</v>
      </c>
      <c r="G8" s="27">
        <f t="shared" si="2"/>
        <v>1004760</v>
      </c>
      <c r="H8" s="2"/>
      <c r="I8" s="79" t="s">
        <v>82</v>
      </c>
      <c r="J8" s="80">
        <f>J7/C2</f>
        <v>39946.104666666666</v>
      </c>
      <c r="K8" s="29"/>
      <c r="L8" s="31"/>
      <c r="M8" s="31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25" customHeight="1" x14ac:dyDescent="0.55000000000000004">
      <c r="A9" s="23" t="s">
        <v>70</v>
      </c>
      <c r="B9" s="24" t="s">
        <v>170</v>
      </c>
      <c r="C9" s="25" t="s">
        <v>71</v>
      </c>
      <c r="D9" s="25">
        <f t="shared" si="0"/>
        <v>18</v>
      </c>
      <c r="E9" s="75">
        <f>'PRECIOS TODOS'!B58</f>
        <v>64040</v>
      </c>
      <c r="F9" s="26">
        <f t="shared" si="1"/>
        <v>1152720</v>
      </c>
      <c r="G9" s="27">
        <f t="shared" si="2"/>
        <v>1152720</v>
      </c>
      <c r="H9" s="2"/>
      <c r="I9" s="13" t="s">
        <v>210</v>
      </c>
      <c r="J9" s="28">
        <f>J8*130%</f>
        <v>51929.936066666669</v>
      </c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25" customHeight="1" x14ac:dyDescent="0.55000000000000004">
      <c r="A10" s="23" t="s">
        <v>70</v>
      </c>
      <c r="B10" s="24" t="s">
        <v>171</v>
      </c>
      <c r="C10" s="25" t="s">
        <v>71</v>
      </c>
      <c r="D10" s="25">
        <f t="shared" si="0"/>
        <v>18</v>
      </c>
      <c r="E10" s="75">
        <f>'PRECIOS TODOS'!B60</f>
        <v>81790</v>
      </c>
      <c r="F10" s="26">
        <f t="shared" si="1"/>
        <v>1472220</v>
      </c>
      <c r="G10" s="27">
        <f t="shared" si="2"/>
        <v>1472220</v>
      </c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25" customHeight="1" x14ac:dyDescent="0.55000000000000004">
      <c r="A11" s="32" t="s">
        <v>70</v>
      </c>
      <c r="B11" s="33" t="s">
        <v>172</v>
      </c>
      <c r="C11" s="34" t="s">
        <v>71</v>
      </c>
      <c r="D11" s="34">
        <f t="shared" si="0"/>
        <v>18</v>
      </c>
      <c r="E11" s="75">
        <f>'PRECIOS TODOS'!B61</f>
        <v>91310</v>
      </c>
      <c r="F11" s="35">
        <f t="shared" si="1"/>
        <v>1643580</v>
      </c>
      <c r="G11" s="36">
        <f t="shared" si="2"/>
        <v>1643580</v>
      </c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25" customHeight="1" x14ac:dyDescent="0.55000000000000004">
      <c r="A12" s="17" t="s">
        <v>86</v>
      </c>
      <c r="B12" s="18" t="s">
        <v>87</v>
      </c>
      <c r="C12" s="19" t="s">
        <v>71</v>
      </c>
      <c r="D12" s="19">
        <f>D13*3</f>
        <v>36</v>
      </c>
      <c r="E12" s="20">
        <f>'PRECIOS TODOS'!B185</f>
        <v>12337.5</v>
      </c>
      <c r="F12" s="37">
        <f t="shared" si="1"/>
        <v>444150</v>
      </c>
      <c r="G12" s="81">
        <f>SUM(F12:F19)</f>
        <v>2363508.84</v>
      </c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25" customHeight="1" x14ac:dyDescent="0.55000000000000004">
      <c r="A13" s="23" t="s">
        <v>86</v>
      </c>
      <c r="B13" s="24" t="s">
        <v>88</v>
      </c>
      <c r="C13" s="25" t="s">
        <v>71</v>
      </c>
      <c r="D13" s="25">
        <v>12</v>
      </c>
      <c r="E13" s="26">
        <f>'PRECIOS TODOS'!B190</f>
        <v>5456.4533333333338</v>
      </c>
      <c r="F13" s="38">
        <f t="shared" si="1"/>
        <v>65477.440000000002</v>
      </c>
      <c r="G13" s="8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25" customHeight="1" x14ac:dyDescent="0.55000000000000004">
      <c r="A14" s="23" t="s">
        <v>86</v>
      </c>
      <c r="B14" s="24" t="s">
        <v>89</v>
      </c>
      <c r="C14" s="25" t="s">
        <v>71</v>
      </c>
      <c r="D14" s="25">
        <v>6</v>
      </c>
      <c r="E14" s="26">
        <f>'PRECIOS TODOS'!B181</f>
        <v>12337.5</v>
      </c>
      <c r="F14" s="38">
        <f t="shared" si="1"/>
        <v>74025</v>
      </c>
      <c r="G14" s="8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3.5" customHeight="1" x14ac:dyDescent="0.55000000000000004">
      <c r="A15" s="23" t="s">
        <v>86</v>
      </c>
      <c r="B15" s="24" t="s">
        <v>90</v>
      </c>
      <c r="C15" s="25" t="s">
        <v>71</v>
      </c>
      <c r="D15" s="25">
        <v>6</v>
      </c>
      <c r="E15" s="26">
        <f>'PRECIOS TODOS'!B194</f>
        <v>1329.9999999999998</v>
      </c>
      <c r="F15" s="38">
        <f t="shared" si="1"/>
        <v>7979.9999999999982</v>
      </c>
      <c r="G15" s="8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3.5" customHeight="1" x14ac:dyDescent="0.55000000000000004">
      <c r="A16" s="23" t="s">
        <v>86</v>
      </c>
      <c r="B16" s="24" t="s">
        <v>138</v>
      </c>
      <c r="C16" s="25" t="s">
        <v>92</v>
      </c>
      <c r="D16" s="25">
        <v>360</v>
      </c>
      <c r="E16" s="26">
        <f>'PRECIOS TODOS'!B188</f>
        <v>3105.4799999999996</v>
      </c>
      <c r="F16" s="38">
        <f t="shared" si="1"/>
        <v>1117972.7999999998</v>
      </c>
      <c r="G16" s="8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25" customHeight="1" x14ac:dyDescent="0.55000000000000004">
      <c r="A17" s="23" t="s">
        <v>86</v>
      </c>
      <c r="B17" s="24" t="s">
        <v>93</v>
      </c>
      <c r="C17" s="25" t="s">
        <v>94</v>
      </c>
      <c r="D17" s="25">
        <v>2</v>
      </c>
      <c r="E17" s="26">
        <f>'PRECIOS TODOS'!B194</f>
        <v>1329.9999999999998</v>
      </c>
      <c r="F17" s="38">
        <f t="shared" si="1"/>
        <v>2659.9999999999995</v>
      </c>
      <c r="G17" s="8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25" customHeight="1" x14ac:dyDescent="0.55000000000000004">
      <c r="A18" s="23" t="s">
        <v>86</v>
      </c>
      <c r="B18" s="24" t="s">
        <v>95</v>
      </c>
      <c r="C18" s="25" t="s">
        <v>94</v>
      </c>
      <c r="D18" s="25">
        <v>8</v>
      </c>
      <c r="E18" s="26">
        <f>'PRECIOS TODOS'!B192</f>
        <v>844.2</v>
      </c>
      <c r="F18" s="38">
        <f t="shared" si="1"/>
        <v>6753.6</v>
      </c>
      <c r="G18" s="8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25" customHeight="1" x14ac:dyDescent="0.55000000000000004">
      <c r="A19" s="32" t="s">
        <v>86</v>
      </c>
      <c r="B19" s="33" t="s">
        <v>96</v>
      </c>
      <c r="C19" s="34" t="s">
        <v>71</v>
      </c>
      <c r="D19" s="34">
        <v>180</v>
      </c>
      <c r="E19" s="35">
        <f>'PRECIOS TODOS'!B205</f>
        <v>3580.4999999999991</v>
      </c>
      <c r="F19" s="39">
        <f t="shared" si="1"/>
        <v>644489.99999999988</v>
      </c>
      <c r="G19" s="83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25" customHeight="1" x14ac:dyDescent="0.55000000000000004">
      <c r="A20" s="17" t="s">
        <v>97</v>
      </c>
      <c r="B20" s="18" t="s">
        <v>98</v>
      </c>
      <c r="C20" s="19" t="s">
        <v>92</v>
      </c>
      <c r="D20" s="19">
        <f>C2</f>
        <v>180</v>
      </c>
      <c r="E20" s="20">
        <f>'PRECIOS TODOS'!B191*90%</f>
        <v>1168.02</v>
      </c>
      <c r="F20" s="20">
        <f t="shared" si="1"/>
        <v>210243.6</v>
      </c>
      <c r="G20" s="81">
        <f>SUM(F20:F21)</f>
        <v>284268.59999999998</v>
      </c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4.25" customHeight="1" x14ac:dyDescent="0.55000000000000004">
      <c r="A21" s="32" t="s">
        <v>97</v>
      </c>
      <c r="B21" s="33" t="s">
        <v>89</v>
      </c>
      <c r="C21" s="34" t="s">
        <v>71</v>
      </c>
      <c r="D21" s="34">
        <v>6</v>
      </c>
      <c r="E21" s="35">
        <f>'PRECIOS TODOS'!B181</f>
        <v>12337.5</v>
      </c>
      <c r="F21" s="35">
        <f t="shared" si="1"/>
        <v>74025</v>
      </c>
      <c r="G21" s="83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4.25" customHeight="1" x14ac:dyDescent="0.55000000000000004">
      <c r="A22" s="19" t="s">
        <v>99</v>
      </c>
      <c r="B22" s="18" t="s">
        <v>104</v>
      </c>
      <c r="C22" s="19" t="s">
        <v>71</v>
      </c>
      <c r="D22" s="19">
        <v>4</v>
      </c>
      <c r="E22" s="20">
        <f>'PRECIOS TODOS'!B143</f>
        <v>32000</v>
      </c>
      <c r="F22" s="40">
        <f t="shared" si="1"/>
        <v>128000</v>
      </c>
      <c r="G22" s="81">
        <f>SUM(F22:F25)</f>
        <v>1306000</v>
      </c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4.25" customHeight="1" x14ac:dyDescent="0.55000000000000004">
      <c r="A23" s="25" t="s">
        <v>99</v>
      </c>
      <c r="B23" s="24" t="s">
        <v>139</v>
      </c>
      <c r="C23" s="25" t="s">
        <v>71</v>
      </c>
      <c r="D23" s="25">
        <v>2</v>
      </c>
      <c r="E23" s="26">
        <f>'PRECIOS TODOS'!B144</f>
        <v>29000</v>
      </c>
      <c r="F23" s="41">
        <f t="shared" si="1"/>
        <v>58000</v>
      </c>
      <c r="G23" s="8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4.25" customHeight="1" x14ac:dyDescent="0.55000000000000004">
      <c r="A24" s="25" t="s">
        <v>99</v>
      </c>
      <c r="B24" s="24" t="s">
        <v>105</v>
      </c>
      <c r="C24" s="25" t="s">
        <v>71</v>
      </c>
      <c r="D24" s="25">
        <v>34</v>
      </c>
      <c r="E24" s="26">
        <f>'PRECIOS TODOS'!B145</f>
        <v>25000</v>
      </c>
      <c r="F24" s="41">
        <f t="shared" si="1"/>
        <v>850000</v>
      </c>
      <c r="G24" s="8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4.25" customHeight="1" x14ac:dyDescent="0.55000000000000004">
      <c r="A25" s="34" t="s">
        <v>99</v>
      </c>
      <c r="B25" s="33" t="s">
        <v>103</v>
      </c>
      <c r="C25" s="34" t="s">
        <v>71</v>
      </c>
      <c r="D25" s="34">
        <v>12</v>
      </c>
      <c r="E25" s="35">
        <f>'PRECIOS TODOS'!B140</f>
        <v>22500</v>
      </c>
      <c r="F25" s="42">
        <f t="shared" si="1"/>
        <v>270000</v>
      </c>
      <c r="G25" s="83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4.25" customHeight="1" x14ac:dyDescent="0.55000000000000004">
      <c r="A26" s="17" t="s">
        <v>73</v>
      </c>
      <c r="B26" s="18" t="s">
        <v>104</v>
      </c>
      <c r="C26" s="19" t="s">
        <v>71</v>
      </c>
      <c r="D26" s="19">
        <v>4</v>
      </c>
      <c r="E26" s="43">
        <f>'PRECIOS TODOS'!B166</f>
        <v>33750</v>
      </c>
      <c r="F26" s="40">
        <f t="shared" si="1"/>
        <v>135000</v>
      </c>
      <c r="G26" s="81">
        <f>SUM(F26:F29)</f>
        <v>1535000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4.25" customHeight="1" x14ac:dyDescent="0.55000000000000004">
      <c r="A27" s="23" t="s">
        <v>73</v>
      </c>
      <c r="B27" s="24" t="s">
        <v>101</v>
      </c>
      <c r="C27" s="25" t="s">
        <v>71</v>
      </c>
      <c r="D27" s="25">
        <v>2</v>
      </c>
      <c r="E27" s="44">
        <f>'PRECIOS TODOS'!B166</f>
        <v>33750</v>
      </c>
      <c r="F27" s="41">
        <f t="shared" si="1"/>
        <v>67500</v>
      </c>
      <c r="G27" s="8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4.25" customHeight="1" x14ac:dyDescent="0.55000000000000004">
      <c r="A28" s="23" t="s">
        <v>73</v>
      </c>
      <c r="B28" s="24" t="s">
        <v>105</v>
      </c>
      <c r="C28" s="25" t="s">
        <v>71</v>
      </c>
      <c r="D28" s="25">
        <v>34</v>
      </c>
      <c r="E28" s="44">
        <f>'PRECIOS TODOS'!B150</f>
        <v>31250</v>
      </c>
      <c r="F28" s="41">
        <f t="shared" si="1"/>
        <v>1062500</v>
      </c>
      <c r="G28" s="8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4.25" customHeight="1" x14ac:dyDescent="0.55000000000000004">
      <c r="A29" s="32" t="s">
        <v>73</v>
      </c>
      <c r="B29" s="33" t="s">
        <v>103</v>
      </c>
      <c r="C29" s="34" t="s">
        <v>71</v>
      </c>
      <c r="D29" s="34">
        <v>12</v>
      </c>
      <c r="E29" s="45">
        <f>'PRECIOS TODOS'!B140</f>
        <v>22500</v>
      </c>
      <c r="F29" s="42">
        <f t="shared" si="1"/>
        <v>270000</v>
      </c>
      <c r="G29" s="83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4.25" customHeight="1" x14ac:dyDescent="0.55000000000000004">
      <c r="A30" s="17" t="s">
        <v>106</v>
      </c>
      <c r="B30" s="18" t="s">
        <v>104</v>
      </c>
      <c r="C30" s="19" t="s">
        <v>71</v>
      </c>
      <c r="D30" s="19">
        <v>4</v>
      </c>
      <c r="E30" s="43">
        <f>'PRECIOS TODOS'!B163</f>
        <v>22500</v>
      </c>
      <c r="F30" s="37">
        <f t="shared" si="1"/>
        <v>90000</v>
      </c>
      <c r="G30" s="81">
        <f>SUM(F30:F33)</f>
        <v>1048050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4.25" customHeight="1" x14ac:dyDescent="0.55000000000000004">
      <c r="A31" s="23" t="s">
        <v>106</v>
      </c>
      <c r="B31" s="24" t="s">
        <v>101</v>
      </c>
      <c r="C31" s="25" t="s">
        <v>71</v>
      </c>
      <c r="D31" s="25">
        <v>2</v>
      </c>
      <c r="E31" s="44">
        <f>'PRECIOS TODOS'!B163</f>
        <v>22500</v>
      </c>
      <c r="F31" s="38">
        <f t="shared" si="1"/>
        <v>45000</v>
      </c>
      <c r="G31" s="8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4.25" customHeight="1" x14ac:dyDescent="0.55000000000000004">
      <c r="A32" s="23" t="s">
        <v>106</v>
      </c>
      <c r="B32" s="24" t="s">
        <v>105</v>
      </c>
      <c r="C32" s="25" t="s">
        <v>71</v>
      </c>
      <c r="D32" s="25">
        <v>34</v>
      </c>
      <c r="E32" s="44">
        <f>'PRECIOS TODOS'!B163</f>
        <v>22500</v>
      </c>
      <c r="F32" s="38">
        <f t="shared" si="1"/>
        <v>765000</v>
      </c>
      <c r="G32" s="8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4.25" customHeight="1" x14ac:dyDescent="0.55000000000000004">
      <c r="A33" s="32" t="s">
        <v>106</v>
      </c>
      <c r="B33" s="33" t="s">
        <v>103</v>
      </c>
      <c r="C33" s="34" t="s">
        <v>71</v>
      </c>
      <c r="D33" s="34">
        <v>12</v>
      </c>
      <c r="E33" s="45">
        <f>'PRECIOS TODOS'!B181</f>
        <v>12337.5</v>
      </c>
      <c r="F33" s="39">
        <f t="shared" si="1"/>
        <v>148050</v>
      </c>
      <c r="G33" s="83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4.25" customHeight="1" x14ac:dyDescent="0.55000000000000004">
      <c r="A34" s="17" t="s">
        <v>76</v>
      </c>
      <c r="B34" s="18" t="s">
        <v>39</v>
      </c>
      <c r="C34" s="19" t="s">
        <v>107</v>
      </c>
      <c r="D34" s="19">
        <v>8</v>
      </c>
      <c r="E34" s="43">
        <f>'PRECIOS TODOS'!B202</f>
        <v>30239.999999999996</v>
      </c>
      <c r="F34" s="43">
        <f t="shared" ref="F34:F43" si="3">+D34*E34</f>
        <v>241919.99999999997</v>
      </c>
      <c r="G34" s="81">
        <f>SUM(F34:F36)</f>
        <v>1164380</v>
      </c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4.25" customHeight="1" x14ac:dyDescent="0.55000000000000004">
      <c r="A35" s="23" t="s">
        <v>76</v>
      </c>
      <c r="B35" s="24" t="s">
        <v>40</v>
      </c>
      <c r="C35" s="25" t="s">
        <v>107</v>
      </c>
      <c r="D35" s="25">
        <v>8</v>
      </c>
      <c r="E35" s="44">
        <f>'PRECIOS TODOS'!B196</f>
        <v>43819.999999999993</v>
      </c>
      <c r="F35" s="44">
        <f t="shared" si="3"/>
        <v>350559.99999999994</v>
      </c>
      <c r="G35" s="8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4.25" customHeight="1" x14ac:dyDescent="0.55000000000000004">
      <c r="A36" s="32" t="s">
        <v>76</v>
      </c>
      <c r="B36" s="33" t="s">
        <v>108</v>
      </c>
      <c r="C36" s="34" t="s">
        <v>109</v>
      </c>
      <c r="D36" s="34">
        <v>50</v>
      </c>
      <c r="E36" s="45">
        <f>'PRECIOS TODOS'!B204</f>
        <v>11438</v>
      </c>
      <c r="F36" s="45">
        <f t="shared" si="3"/>
        <v>571900</v>
      </c>
      <c r="G36" s="83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4.25" customHeight="1" x14ac:dyDescent="0.55000000000000004">
      <c r="A37" s="17" t="s">
        <v>110</v>
      </c>
      <c r="B37" s="18" t="s">
        <v>39</v>
      </c>
      <c r="C37" s="19" t="s">
        <v>107</v>
      </c>
      <c r="D37" s="19">
        <f t="shared" ref="D37:D39" si="4">(D34/4)*3</f>
        <v>6</v>
      </c>
      <c r="E37" s="43">
        <f>'PRECIOS TODOS'!B202</f>
        <v>30239.999999999996</v>
      </c>
      <c r="F37" s="43">
        <f t="shared" si="3"/>
        <v>181439.99999999997</v>
      </c>
      <c r="G37" s="81">
        <f>SUM(F37:F39)</f>
        <v>791805</v>
      </c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4.25" customHeight="1" x14ac:dyDescent="0.55000000000000004">
      <c r="A38" s="23" t="s">
        <v>110</v>
      </c>
      <c r="B38" s="24" t="s">
        <v>40</v>
      </c>
      <c r="C38" s="25" t="s">
        <v>107</v>
      </c>
      <c r="D38" s="25">
        <f t="shared" si="4"/>
        <v>6</v>
      </c>
      <c r="E38" s="44">
        <f>'PRECIOS TODOS'!B202</f>
        <v>30239.999999999996</v>
      </c>
      <c r="F38" s="44">
        <f t="shared" si="3"/>
        <v>181439.99999999997</v>
      </c>
      <c r="G38" s="8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4.25" customHeight="1" x14ac:dyDescent="0.55000000000000004">
      <c r="A39" s="32" t="s">
        <v>110</v>
      </c>
      <c r="B39" s="33" t="s">
        <v>108</v>
      </c>
      <c r="C39" s="34" t="s">
        <v>109</v>
      </c>
      <c r="D39" s="34">
        <f t="shared" si="4"/>
        <v>37.5</v>
      </c>
      <c r="E39" s="45">
        <f>'PRECIOS TODOS'!B204</f>
        <v>11438</v>
      </c>
      <c r="F39" s="45">
        <f t="shared" si="3"/>
        <v>428925</v>
      </c>
      <c r="G39" s="83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4.25" customHeight="1" x14ac:dyDescent="0.55000000000000004">
      <c r="A40" s="17" t="s">
        <v>111</v>
      </c>
      <c r="B40" s="18" t="s">
        <v>39</v>
      </c>
      <c r="C40" s="19" t="s">
        <v>107</v>
      </c>
      <c r="D40" s="19">
        <f t="shared" ref="D40:D42" si="5">(D34/2)</f>
        <v>4</v>
      </c>
      <c r="E40" s="43">
        <f>'PRECIOS TODOS'!B202</f>
        <v>30239.999999999996</v>
      </c>
      <c r="F40" s="43">
        <f t="shared" si="3"/>
        <v>120959.99999999999</v>
      </c>
      <c r="G40" s="81">
        <f>SUM(F40:F42)</f>
        <v>997919.99999999988</v>
      </c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4.25" customHeight="1" x14ac:dyDescent="0.55000000000000004">
      <c r="A41" s="23" t="s">
        <v>111</v>
      </c>
      <c r="B41" s="24" t="s">
        <v>40</v>
      </c>
      <c r="C41" s="25" t="s">
        <v>107</v>
      </c>
      <c r="D41" s="25">
        <f t="shared" si="5"/>
        <v>4</v>
      </c>
      <c r="E41" s="44">
        <f>'PRECIOS TODOS'!B202</f>
        <v>30239.999999999996</v>
      </c>
      <c r="F41" s="44">
        <f t="shared" si="3"/>
        <v>120959.99999999999</v>
      </c>
      <c r="G41" s="8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4.25" customHeight="1" x14ac:dyDescent="0.55000000000000004">
      <c r="A42" s="32" t="s">
        <v>111</v>
      </c>
      <c r="B42" s="33" t="s">
        <v>108</v>
      </c>
      <c r="C42" s="34" t="s">
        <v>109</v>
      </c>
      <c r="D42" s="34">
        <f t="shared" si="5"/>
        <v>25</v>
      </c>
      <c r="E42" s="45">
        <f>'PRECIOS TODOS'!B203</f>
        <v>30239.999999999996</v>
      </c>
      <c r="F42" s="45">
        <f t="shared" si="3"/>
        <v>755999.99999999988</v>
      </c>
      <c r="G42" s="83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4.25" customHeight="1" x14ac:dyDescent="0.55000000000000004">
      <c r="A43" s="46" t="s">
        <v>112</v>
      </c>
      <c r="B43" s="47" t="s">
        <v>113</v>
      </c>
      <c r="C43" s="48" t="s">
        <v>71</v>
      </c>
      <c r="D43" s="48">
        <f>C2</f>
        <v>180</v>
      </c>
      <c r="E43" s="49">
        <f>'PRECIOS TODOS'!B204</f>
        <v>11438</v>
      </c>
      <c r="F43" s="49">
        <f t="shared" si="3"/>
        <v>2058840</v>
      </c>
      <c r="G43" s="50">
        <f>F43</f>
        <v>2058840</v>
      </c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4.25" customHeight="1" x14ac:dyDescent="0.4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4.25" customHeight="1" x14ac:dyDescent="0.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4.25" customHeight="1" x14ac:dyDescent="0.4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4.25" customHeight="1" x14ac:dyDescent="0.4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4.25" customHeight="1" x14ac:dyDescent="0.4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4.25" customHeight="1" x14ac:dyDescent="0.4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4.25" customHeight="1" x14ac:dyDescent="0.4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4.25" customHeight="1" x14ac:dyDescent="0.4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4.25" customHeight="1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4.25" customHeight="1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4.25" customHeight="1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4.25" customHeight="1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4.25" customHeight="1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4.25" customHeight="1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4.25" customHeight="1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4.25" customHeight="1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4.25" customHeight="1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4.25" customHeight="1" x14ac:dyDescent="0.45">
      <c r="A61" s="84" t="s">
        <v>114</v>
      </c>
      <c r="B61" s="87" t="s">
        <v>115</v>
      </c>
      <c r="C61" s="51" t="s">
        <v>116</v>
      </c>
      <c r="D61" s="52" t="s">
        <v>173</v>
      </c>
      <c r="E61" s="53" t="s">
        <v>118</v>
      </c>
      <c r="F61" s="54" t="e">
        <f t="shared" ref="F61:F68" si="6">+#REF!</f>
        <v>#REF!</v>
      </c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4.25" customHeight="1" x14ac:dyDescent="0.45">
      <c r="A62" s="85"/>
      <c r="B62" s="88"/>
      <c r="C62" s="55" t="s">
        <v>119</v>
      </c>
      <c r="D62" s="56" t="s">
        <v>174</v>
      </c>
      <c r="E62" s="57" t="s">
        <v>118</v>
      </c>
      <c r="F62" s="58" t="e">
        <f t="shared" si="6"/>
        <v>#REF!</v>
      </c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4.25" customHeight="1" x14ac:dyDescent="0.45">
      <c r="A63" s="85"/>
      <c r="B63" s="88"/>
      <c r="C63" s="55" t="s">
        <v>121</v>
      </c>
      <c r="D63" s="56" t="s">
        <v>175</v>
      </c>
      <c r="E63" s="57" t="s">
        <v>118</v>
      </c>
      <c r="F63" s="58" t="e">
        <f t="shared" si="6"/>
        <v>#REF!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4.25" customHeight="1" x14ac:dyDescent="0.45">
      <c r="A64" s="85"/>
      <c r="B64" s="89"/>
      <c r="C64" s="59" t="s">
        <v>123</v>
      </c>
      <c r="D64" s="60" t="s">
        <v>176</v>
      </c>
      <c r="E64" s="61" t="s">
        <v>118</v>
      </c>
      <c r="F64" s="62" t="e">
        <f t="shared" si="6"/>
        <v>#REF!</v>
      </c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4.25" customHeight="1" x14ac:dyDescent="0.45">
      <c r="A65" s="85"/>
      <c r="B65" s="90" t="s">
        <v>125</v>
      </c>
      <c r="C65" s="63" t="s">
        <v>116</v>
      </c>
      <c r="D65" s="64" t="s">
        <v>177</v>
      </c>
      <c r="E65" s="65" t="s">
        <v>118</v>
      </c>
      <c r="F65" s="66" t="e">
        <f t="shared" si="6"/>
        <v>#REF!</v>
      </c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4.25" customHeight="1" x14ac:dyDescent="0.45">
      <c r="A66" s="85"/>
      <c r="B66" s="88"/>
      <c r="C66" s="67" t="s">
        <v>119</v>
      </c>
      <c r="D66" s="56" t="s">
        <v>178</v>
      </c>
      <c r="E66" s="57" t="s">
        <v>118</v>
      </c>
      <c r="F66" s="58" t="e">
        <f t="shared" si="6"/>
        <v>#REF!</v>
      </c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4.25" customHeight="1" x14ac:dyDescent="0.45">
      <c r="A67" s="85"/>
      <c r="B67" s="88"/>
      <c r="C67" s="67" t="s">
        <v>121</v>
      </c>
      <c r="D67" s="56" t="s">
        <v>179</v>
      </c>
      <c r="E67" s="57" t="s">
        <v>118</v>
      </c>
      <c r="F67" s="58" t="e">
        <f t="shared" si="6"/>
        <v>#REF!</v>
      </c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4.25" customHeight="1" x14ac:dyDescent="0.45">
      <c r="A68" s="86"/>
      <c r="B68" s="91"/>
      <c r="C68" s="68" t="s">
        <v>123</v>
      </c>
      <c r="D68" s="69" t="s">
        <v>180</v>
      </c>
      <c r="E68" s="70" t="s">
        <v>118</v>
      </c>
      <c r="F68" s="71" t="e">
        <f t="shared" si="6"/>
        <v>#REF!</v>
      </c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4.25" customHeight="1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4.25" customHeight="1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4.25" customHeight="1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4.25" customHeight="1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4.25" customHeight="1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4.25" customHeight="1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4.25" customHeight="1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4.25" customHeight="1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4.25" customHeight="1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4.25" customHeight="1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4.25" customHeight="1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4.25" customHeight="1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4.25" customHeight="1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4.25" customHeight="1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4.25" customHeight="1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4.25" customHeight="1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4.25" customHeight="1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4.25" customHeight="1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4.25" customHeight="1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4.25" customHeight="1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4.25" customHeight="1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4.25" customHeight="1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4.25" customHeight="1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4.25" customHeight="1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4.25" customHeight="1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4.25" customHeight="1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4.25" customHeight="1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4.25" customHeight="1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4.25" customHeight="1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4.25" customHeight="1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4.25" customHeight="1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4.25" customHeight="1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4.25" customHeight="1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4.25" customHeight="1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4.25" customHeight="1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4.25" customHeight="1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4.25" customHeight="1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4.25" customHeight="1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4.25" customHeight="1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4.25" customHeight="1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4.25" customHeight="1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4.25" customHeight="1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4.25" customHeight="1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4.25" customHeight="1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4.25" customHeight="1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4.25" customHeight="1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4.25" customHeight="1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4.25" customHeight="1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4.25" customHeight="1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4.25" customHeight="1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4.25" customHeight="1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4.25" customHeight="1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4.25" customHeight="1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4.25" customHeight="1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4.25" customHeight="1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4.25" customHeight="1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4.25" customHeight="1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4.25" customHeight="1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4.25" customHeight="1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4.25" customHeight="1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4.25" customHeight="1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4.25" customHeight="1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4.25" customHeight="1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4.25" customHeight="1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4.25" customHeight="1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4.25" customHeight="1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4.25" customHeight="1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4.25" customHeight="1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4.25" customHeight="1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4.25" customHeight="1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4.25" customHeight="1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4.25" customHeight="1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4.25" customHeight="1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4.25" customHeight="1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4.25" customHeight="1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4.25" customHeight="1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4.25" customHeight="1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4.25" customHeight="1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4.25" customHeight="1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4.25" customHeight="1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4.25" customHeight="1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4.25" customHeight="1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4.25" customHeight="1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4.25" customHeight="1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4.25" customHeight="1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4.25" customHeight="1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4.25" customHeight="1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4.25" customHeight="1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4.25" customHeight="1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4.25" customHeight="1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4.25" customHeight="1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4.25" customHeight="1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4.25" customHeight="1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4.25" customHeight="1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4.25" customHeight="1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4.25" customHeight="1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4.25" customHeight="1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4.25" customHeight="1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4.25" customHeight="1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4.25" customHeight="1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4.25" customHeight="1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4.25" customHeight="1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4.25" customHeight="1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4.25" customHeight="1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4.25" customHeight="1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4.25" customHeight="1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4.25" customHeight="1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4.25" customHeight="1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4.25" customHeight="1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4.25" customHeight="1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4.25" customHeight="1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4.25" customHeight="1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4.25" customHeight="1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4.25" customHeight="1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4.25" customHeight="1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4.25" customHeight="1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4.25" customHeight="1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4.25" customHeight="1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4.25" customHeight="1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4.25" customHeight="1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4.25" customHeight="1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4.25" customHeight="1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4.25" customHeight="1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4.25" customHeight="1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4.25" customHeight="1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4.25" customHeight="1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4.25" customHeight="1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4.25" customHeight="1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4.25" customHeight="1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4.25" customHeight="1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4.25" customHeight="1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4.25" customHeight="1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4.25" customHeight="1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4.25" customHeight="1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4.25" customHeight="1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4.25" customHeight="1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4.25" customHeight="1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4.25" customHeight="1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4.25" customHeight="1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4.25" customHeight="1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4.25" customHeight="1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4.25" customHeight="1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4.25" customHeight="1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4.25" customHeight="1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4.25" customHeight="1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4.25" customHeight="1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4.25" customHeight="1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4.25" customHeight="1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4.25" customHeight="1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4.25" customHeight="1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4.25" customHeight="1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4.25" customHeight="1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4.25" customHeight="1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4.25" customHeight="1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4.25" customHeight="1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4.25" customHeight="1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4.25" customHeight="1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4.25" customHeight="1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4.25" customHeight="1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4.25" customHeight="1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4.25" customHeight="1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4.25" customHeight="1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4.25" customHeight="1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4.25" customHeight="1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4.25" customHeight="1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4.25" customHeight="1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4.25" customHeight="1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4.25" customHeight="1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4.25" customHeight="1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4.25" customHeight="1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4.25" customHeight="1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4.25" customHeight="1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4.25" customHeight="1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4.25" customHeight="1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4.25" customHeight="1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4.25" customHeight="1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4.25" customHeight="1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4.25" customHeight="1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4.25" customHeight="1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4.25" customHeight="1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4.25" customHeight="1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4.25" customHeight="1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4.25" customHeight="1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4.25" customHeight="1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4.25" customHeight="1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4.25" customHeight="1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4.25" customHeight="1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4.25" customHeight="1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4.25" customHeight="1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4.25" customHeight="1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4.25" customHeight="1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4.25" customHeight="1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4.25" customHeight="1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4.25" customHeight="1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4.25" customHeight="1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4.25" customHeight="1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4.25" customHeight="1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4.25" customHeight="1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4.25" customHeight="1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4.25" customHeight="1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45"/>
    <row r="270" spans="1:26" ht="15.75" customHeight="1" x14ac:dyDescent="0.45"/>
    <row r="271" spans="1:26" ht="15.75" customHeight="1" x14ac:dyDescent="0.45"/>
    <row r="272" spans="1:26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mergeCells count="11">
    <mergeCell ref="G40:G42"/>
    <mergeCell ref="A61:A68"/>
    <mergeCell ref="B61:B64"/>
    <mergeCell ref="B65:B68"/>
    <mergeCell ref="G12:G19"/>
    <mergeCell ref="G20:G21"/>
    <mergeCell ref="G22:G25"/>
    <mergeCell ref="G26:G29"/>
    <mergeCell ref="G30:G33"/>
    <mergeCell ref="G34:G36"/>
    <mergeCell ref="G37:G39"/>
  </mergeCells>
  <dataValidations count="5">
    <dataValidation type="list" allowBlank="1" showErrorMessage="1" sqref="K6" xr:uid="{00000000-0002-0000-0400-000000000000}">
      <formula1>"1.0,2.0,3.0"</formula1>
    </dataValidation>
    <dataValidation type="list" allowBlank="1" showErrorMessage="1" sqref="J3:K3" xr:uid="{00000000-0002-0000-0400-000001000000}">
      <formula1>$B$4:$B$11</formula1>
    </dataValidation>
    <dataValidation type="list" allowBlank="1" showErrorMessage="1" sqref="J5:K5" xr:uid="{00000000-0002-0000-0400-000002000000}">
      <formula1>"CORDON 20 CM,CORDON 15 CM,CORDON 10 CM"</formula1>
    </dataValidation>
    <dataValidation type="list" allowBlank="1" showErrorMessage="1" sqref="J4:K4" xr:uid="{00000000-0002-0000-0400-000003000000}">
      <formula1>"POSTES OLIMP,POSTES P DIAMANTE,POSTE EUCALIPTO"</formula1>
    </dataValidation>
    <dataValidation type="list" allowBlank="1" showErrorMessage="1" sqref="J6" xr:uid="{00000000-0002-0000-0400-000004000000}">
      <formula1>"1,2,3,0"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PRECIOS TODOS</vt:lpstr>
      <vt:lpstr>Cerco con rollo de 2mt</vt:lpstr>
      <vt:lpstr>Cerco con rollo de  1.8mt</vt:lpstr>
      <vt:lpstr>Cerco con rollo de  1.5mt</vt:lpstr>
      <vt:lpstr>Cerco con rollo de 1.2mt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Alexia</dc:creator>
  <cp:lastModifiedBy>Sergio Sebastián</cp:lastModifiedBy>
  <dcterms:created xsi:type="dcterms:W3CDTF">2021-10-21T15:26:50Z</dcterms:created>
  <dcterms:modified xsi:type="dcterms:W3CDTF">2025-10-15T00:16:08Z</dcterms:modified>
</cp:coreProperties>
</file>