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Downloads\"/>
    </mc:Choice>
  </mc:AlternateContent>
  <xr:revisionPtr revIDLastSave="0" documentId="13_ncr:1_{E95A7C5A-28A5-4ECA-9688-9A0B83B3658D}" xr6:coauthVersionLast="47" xr6:coauthVersionMax="47" xr10:uidLastSave="{00000000-0000-0000-0000-000000000000}"/>
  <bookViews>
    <workbookView xWindow="-120" yWindow="-120" windowWidth="29040" windowHeight="15720" xr2:uid="{32360696-2CF2-46D4-B9C8-00C954D54D04}"/>
  </bookViews>
  <sheets>
    <sheet name="Accesori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3" i="1" l="1"/>
  <c r="G43" i="1" s="1"/>
  <c r="F42" i="1"/>
  <c r="J42" i="1" s="1"/>
  <c r="F41" i="1"/>
  <c r="I41" i="1" s="1"/>
  <c r="F40" i="1"/>
  <c r="J40" i="1" s="1"/>
  <c r="F39" i="1"/>
  <c r="K39" i="1" s="1"/>
  <c r="F38" i="1"/>
  <c r="J38" i="1" s="1"/>
  <c r="F37" i="1"/>
  <c r="I37" i="1" s="1"/>
  <c r="F36" i="1"/>
  <c r="J36" i="1" s="1"/>
  <c r="F35" i="1"/>
  <c r="K35" i="1" s="1"/>
  <c r="F34" i="1"/>
  <c r="J34" i="1" s="1"/>
  <c r="F33" i="1"/>
  <c r="I33" i="1" s="1"/>
  <c r="F32" i="1"/>
  <c r="J32" i="1" s="1"/>
  <c r="F31" i="1"/>
  <c r="J31" i="1" s="1"/>
  <c r="F30" i="1"/>
  <c r="I30" i="1" s="1"/>
  <c r="F29" i="1"/>
  <c r="J29" i="1" s="1"/>
  <c r="F28" i="1"/>
  <c r="K28" i="1" s="1"/>
  <c r="F27" i="1"/>
  <c r="J27" i="1" s="1"/>
  <c r="F26" i="1"/>
  <c r="I26" i="1" s="1"/>
  <c r="F25" i="1"/>
  <c r="J25" i="1" s="1"/>
  <c r="F24" i="1"/>
  <c r="G24" i="1" s="1"/>
  <c r="F23" i="1"/>
  <c r="J23" i="1" s="1"/>
  <c r="F22" i="1"/>
  <c r="I22" i="1" s="1"/>
  <c r="F21" i="1"/>
  <c r="J21" i="1" s="1"/>
  <c r="F20" i="1"/>
  <c r="K20" i="1" s="1"/>
  <c r="F19" i="1"/>
  <c r="J19" i="1" s="1"/>
  <c r="F18" i="1"/>
  <c r="I18" i="1" s="1"/>
  <c r="F17" i="1"/>
  <c r="J17" i="1" s="1"/>
  <c r="F16" i="1"/>
  <c r="G16" i="1" s="1"/>
  <c r="F15" i="1"/>
  <c r="J15" i="1" s="1"/>
  <c r="F14" i="1"/>
  <c r="I14" i="1" s="1"/>
  <c r="F13" i="1"/>
  <c r="J13" i="1" s="1"/>
  <c r="F12" i="1"/>
  <c r="G12" i="1" s="1"/>
  <c r="F11" i="1"/>
  <c r="J11" i="1" s="1"/>
  <c r="F10" i="1"/>
  <c r="I10" i="1" s="1"/>
  <c r="F9" i="1"/>
  <c r="J9" i="1" s="1"/>
  <c r="F8" i="1"/>
  <c r="K8" i="1" s="1"/>
  <c r="F7" i="1"/>
  <c r="J7" i="1" s="1"/>
  <c r="F6" i="1"/>
  <c r="I6" i="1" s="1"/>
  <c r="F5" i="1"/>
  <c r="J5" i="1" s="1"/>
  <c r="F4" i="1"/>
  <c r="K4" i="1" s="1"/>
  <c r="F3" i="1"/>
  <c r="J3" i="1" s="1"/>
  <c r="F2" i="1"/>
  <c r="J2" i="1" s="1"/>
  <c r="K7" i="1" l="1"/>
  <c r="K13" i="1"/>
  <c r="K43" i="1"/>
  <c r="K10" i="1"/>
  <c r="H7" i="1"/>
  <c r="J43" i="1"/>
  <c r="H27" i="1"/>
  <c r="K27" i="1"/>
  <c r="K22" i="1"/>
  <c r="K17" i="1"/>
  <c r="H43" i="1"/>
  <c r="G7" i="1"/>
  <c r="I43" i="1"/>
  <c r="J33" i="1"/>
  <c r="J37" i="1"/>
  <c r="J41" i="1"/>
  <c r="G11" i="1"/>
  <c r="K41" i="1"/>
  <c r="G5" i="1"/>
  <c r="G15" i="1"/>
  <c r="H19" i="1"/>
  <c r="H25" i="1"/>
  <c r="G38" i="1"/>
  <c r="I5" i="1"/>
  <c r="H15" i="1"/>
  <c r="I25" i="1"/>
  <c r="K38" i="1"/>
  <c r="G42" i="1"/>
  <c r="K5" i="1"/>
  <c r="G9" i="1"/>
  <c r="G13" i="1"/>
  <c r="K15" i="1"/>
  <c r="K25" i="1"/>
  <c r="G36" i="1"/>
  <c r="H13" i="1"/>
  <c r="I36" i="1"/>
  <c r="J10" i="1"/>
  <c r="I13" i="1"/>
  <c r="K36" i="1"/>
  <c r="G40" i="1"/>
  <c r="J30" i="1"/>
  <c r="G32" i="1"/>
  <c r="G34" i="1"/>
  <c r="H3" i="1"/>
  <c r="J18" i="1"/>
  <c r="G21" i="1"/>
  <c r="G23" i="1"/>
  <c r="K30" i="1"/>
  <c r="H32" i="1"/>
  <c r="H34" i="1"/>
  <c r="K3" i="1"/>
  <c r="J6" i="1"/>
  <c r="K18" i="1"/>
  <c r="H21" i="1"/>
  <c r="H23" i="1"/>
  <c r="I32" i="1"/>
  <c r="K34" i="1"/>
  <c r="K6" i="1"/>
  <c r="H9" i="1"/>
  <c r="H11" i="1"/>
  <c r="I21" i="1"/>
  <c r="K23" i="1"/>
  <c r="J26" i="1"/>
  <c r="G29" i="1"/>
  <c r="G31" i="1"/>
  <c r="K32" i="1"/>
  <c r="K37" i="1"/>
  <c r="H40" i="1"/>
  <c r="H42" i="1"/>
  <c r="G2" i="1"/>
  <c r="I9" i="1"/>
  <c r="K11" i="1"/>
  <c r="J14" i="1"/>
  <c r="G17" i="1"/>
  <c r="G19" i="1"/>
  <c r="K21" i="1"/>
  <c r="K26" i="1"/>
  <c r="H29" i="1"/>
  <c r="H31" i="1"/>
  <c r="I40" i="1"/>
  <c r="K42" i="1"/>
  <c r="H2" i="1"/>
  <c r="K9" i="1"/>
  <c r="K14" i="1"/>
  <c r="H17" i="1"/>
  <c r="I29" i="1"/>
  <c r="K31" i="1"/>
  <c r="K40" i="1"/>
  <c r="I2" i="1"/>
  <c r="G3" i="1"/>
  <c r="K2" i="1"/>
  <c r="H5" i="1"/>
  <c r="I17" i="1"/>
  <c r="K19" i="1"/>
  <c r="J22" i="1"/>
  <c r="G25" i="1"/>
  <c r="G27" i="1"/>
  <c r="K29" i="1"/>
  <c r="K33" i="1"/>
  <c r="H36" i="1"/>
  <c r="H38" i="1"/>
  <c r="G20" i="1"/>
  <c r="G28" i="1"/>
  <c r="G35" i="1"/>
  <c r="G39" i="1"/>
  <c r="H4" i="1"/>
  <c r="H8" i="1"/>
  <c r="H12" i="1"/>
  <c r="H16" i="1"/>
  <c r="H20" i="1"/>
  <c r="H24" i="1"/>
  <c r="H28" i="1"/>
  <c r="H35" i="1"/>
  <c r="H39" i="1"/>
  <c r="G4" i="1"/>
  <c r="G8" i="1"/>
  <c r="I4" i="1"/>
  <c r="I8" i="1"/>
  <c r="I12" i="1"/>
  <c r="I16" i="1"/>
  <c r="I20" i="1"/>
  <c r="I24" i="1"/>
  <c r="I28" i="1"/>
  <c r="I35" i="1"/>
  <c r="I39" i="1"/>
  <c r="J4" i="1"/>
  <c r="J8" i="1"/>
  <c r="J12" i="1"/>
  <c r="J16" i="1"/>
  <c r="J20" i="1"/>
  <c r="J24" i="1"/>
  <c r="J28" i="1"/>
  <c r="J35" i="1"/>
  <c r="J39" i="1"/>
  <c r="I3" i="1"/>
  <c r="G6" i="1"/>
  <c r="I7" i="1"/>
  <c r="G10" i="1"/>
  <c r="I11" i="1"/>
  <c r="K12" i="1"/>
  <c r="G14" i="1"/>
  <c r="I15" i="1"/>
  <c r="K16" i="1"/>
  <c r="G18" i="1"/>
  <c r="I19" i="1"/>
  <c r="G22" i="1"/>
  <c r="I23" i="1"/>
  <c r="K24" i="1"/>
  <c r="G26" i="1"/>
  <c r="I27" i="1"/>
  <c r="G30" i="1"/>
  <c r="I31" i="1"/>
  <c r="G33" i="1"/>
  <c r="I34" i="1"/>
  <c r="G37" i="1"/>
  <c r="I38" i="1"/>
  <c r="G41" i="1"/>
  <c r="I42" i="1"/>
  <c r="H6" i="1"/>
  <c r="H10" i="1"/>
  <c r="H14" i="1"/>
  <c r="H18" i="1"/>
  <c r="H22" i="1"/>
  <c r="H26" i="1"/>
  <c r="H30" i="1"/>
  <c r="H33" i="1"/>
  <c r="H37" i="1"/>
  <c r="H4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1" authorId="0" shapeId="0" xr:uid="{4B1B37CE-0771-4E7B-8A32-328208293FFB}">
      <text>
        <r>
          <rPr>
            <sz val="11"/>
            <color theme="1"/>
            <rFont val="Calibri"/>
            <family val="2"/>
            <scheme val="minor"/>
          </rPr>
          <t>======
ID#AAABq6BlbUc
Alambres Norte Salta    (2025-09-08 20:19:25)
50 mtl como minimo</t>
        </r>
      </text>
    </comment>
  </commentList>
</comments>
</file>

<file path=xl/sharedStrings.xml><?xml version="1.0" encoding="utf-8"?>
<sst xmlns="http://schemas.openxmlformats.org/spreadsheetml/2006/main" count="137" uniqueCount="69">
  <si>
    <t>Unidad</t>
  </si>
  <si>
    <t>Dimensiones</t>
  </si>
  <si>
    <t>Cantidad Estandar</t>
  </si>
  <si>
    <t>Precio Costo(neto + impuestos)</t>
  </si>
  <si>
    <t>Precio Venta/Lista</t>
  </si>
  <si>
    <t>Precio Efectivo/Transf.</t>
  </si>
  <si>
    <t>Precio Tarjeta</t>
  </si>
  <si>
    <t>cheq 45 dias</t>
  </si>
  <si>
    <t>cheq 60 dias</t>
  </si>
  <si>
    <t>cheq 90 dias</t>
  </si>
  <si>
    <t>Alambre Galvanizado Calibre 12</t>
  </si>
  <si>
    <t>kg</t>
  </si>
  <si>
    <t>12'</t>
  </si>
  <si>
    <t>Alambre Galvanizado Calibre 13</t>
  </si>
  <si>
    <t>14'</t>
  </si>
  <si>
    <t>Alambre Galvanizado Calibre 14</t>
  </si>
  <si>
    <t>Varilla roscada</t>
  </si>
  <si>
    <t>u</t>
  </si>
  <si>
    <t>3/8"</t>
  </si>
  <si>
    <t>Planchuela 7/8 x 3/16"</t>
  </si>
  <si>
    <t>mts</t>
  </si>
  <si>
    <t>7/8 x 3/16</t>
  </si>
  <si>
    <t>Planchuela 7/8 x 3/16" 2mt</t>
  </si>
  <si>
    <t>Torniqueta Galvanizada Micro</t>
  </si>
  <si>
    <t>-</t>
  </si>
  <si>
    <t>Torniqueta Galvanizada Mini N 5</t>
  </si>
  <si>
    <t>Torniqueta Galvanizada N 7</t>
  </si>
  <si>
    <t>Ganchos Galvanizados 3/8" x 10"</t>
  </si>
  <si>
    <t>Ganchos Galvanizados 3/8" x 8''</t>
  </si>
  <si>
    <t>Ganchos Galvanizados 3/8" x 7''</t>
  </si>
  <si>
    <t>Esparragos Galvanizados de 3/8" x 10"</t>
  </si>
  <si>
    <t>Alambre de Púas x rollo de 100mts</t>
  </si>
  <si>
    <t>Alambre de Púas x rollo de 500mts</t>
  </si>
  <si>
    <t>Alambre de Púas x mt</t>
  </si>
  <si>
    <t>17/15</t>
  </si>
  <si>
    <t>16/14</t>
  </si>
  <si>
    <t>Alambre Negro 14</t>
  </si>
  <si>
    <t>Alambre Negro 16</t>
  </si>
  <si>
    <t>Alambre Negro 8</t>
  </si>
  <si>
    <t>Clavos punta paris 2 1/2"</t>
  </si>
  <si>
    <t>Arena</t>
  </si>
  <si>
    <t>m3</t>
  </si>
  <si>
    <t>Ripio</t>
  </si>
  <si>
    <t>Cemento, bolsa 50 kg</t>
  </si>
  <si>
    <t>un</t>
  </si>
  <si>
    <t>Travillas Cebil 1.4mt x 12 un</t>
  </si>
  <si>
    <t>Mano de obra x mt s/cordon</t>
  </si>
  <si>
    <t>Mano de obra x mt c/cordon</t>
  </si>
  <si>
    <t>Transporte x mtl</t>
  </si>
  <si>
    <t>mt</t>
  </si>
  <si>
    <t>Alambre galvanizado Calibre 20</t>
  </si>
  <si>
    <t>Hierro liso 8 mm</t>
  </si>
  <si>
    <t>Hierro Torsionado 8 mm</t>
  </si>
  <si>
    <t>Hierro Torsionado 6 mm</t>
  </si>
  <si>
    <t>Hierro Torsionado10 mm</t>
  </si>
  <si>
    <t>Electrodo 2.5 mm</t>
  </si>
  <si>
    <t>Disco corte amoladora chica 4 1.8"</t>
  </si>
  <si>
    <t>Barra de Hierro Ø 6 mm</t>
  </si>
  <si>
    <t>Barra de Hierro Ø 10 mm</t>
  </si>
  <si>
    <t>Barra de Hierro Ø 12 mm</t>
  </si>
  <si>
    <t>Concertinas 30cm x 10 mt</t>
  </si>
  <si>
    <t>Alambre Acindar A/R 17/15 x 1000mt</t>
  </si>
  <si>
    <t>Alambre Acindar A/R 16/14 x 1000mt</t>
  </si>
  <si>
    <t>Alambre Acindar A/R 17/15 x mt</t>
  </si>
  <si>
    <t>Alambre Acindar A/R 16/14 x mt</t>
  </si>
  <si>
    <t>14"</t>
  </si>
  <si>
    <t>16"</t>
  </si>
  <si>
    <t>8"</t>
  </si>
  <si>
    <t>Articulo Detalle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</si>
</sst>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"/>
    <numFmt numFmtId="165" formatCode="_-&quot;$&quot;\ * #,##0.00_-;\-&quot;$&quot;\ * #,##0.00_-;_-&quot;$&quot;\ * &quot;-&quot;??_-;_-@"/>
    <numFmt numFmtId="166" formatCode="_-[$$-2C0A]\ * #,##0.00_-;\-[$$-2C0A]\ * #,##0.00_-;_-[$$-2C0A]\ * &quot;-&quot;??_-;_-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5" fontId="5" fillId="3" borderId="1" xfId="0" applyNumberFormat="1" applyFont="1" applyFill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2" fillId="0" borderId="0" xfId="0" applyFont="1"/>
    <xf numFmtId="165" fontId="4" fillId="3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/>
    <xf numFmtId="164" fontId="4" fillId="0" borderId="1" xfId="0" applyNumberFormat="1" applyFon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95B88-D9DE-439F-A342-53AA36F36E90}">
  <dimension ref="A1:L990"/>
  <sheetViews>
    <sheetView tabSelected="1" workbookViewId="0">
      <selection activeCell="A2" sqref="A2"/>
    </sheetView>
  </sheetViews>
  <sheetFormatPr baseColWidth="10" defaultColWidth="14.41796875" defaultRowHeight="15" customHeight="1" x14ac:dyDescent="0.55000000000000004"/>
  <cols>
    <col min="1" max="1" width="43" customWidth="1"/>
    <col min="2" max="3" width="12.578125" customWidth="1"/>
    <col min="4" max="4" width="15.578125" customWidth="1"/>
    <col min="5" max="5" width="27.68359375" customWidth="1"/>
    <col min="6" max="6" width="16.41796875" customWidth="1"/>
    <col min="7" max="7" width="21.41796875" customWidth="1"/>
    <col min="8" max="8" width="17.41796875" customWidth="1"/>
  </cols>
  <sheetData>
    <row r="1" spans="1:12" ht="30" customHeight="1" x14ac:dyDescent="0.55000000000000004">
      <c r="A1" s="1" t="s">
        <v>68</v>
      </c>
      <c r="B1" s="1" t="s">
        <v>0</v>
      </c>
      <c r="C1" s="1" t="s">
        <v>1</v>
      </c>
      <c r="D1" s="1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2" ht="19.5" customHeight="1" x14ac:dyDescent="0.55000000000000004">
      <c r="A2" s="3" t="s">
        <v>10</v>
      </c>
      <c r="B2" s="4" t="s">
        <v>11</v>
      </c>
      <c r="C2" s="4" t="s">
        <v>12</v>
      </c>
      <c r="D2" s="3"/>
      <c r="E2" s="5">
        <v>2912</v>
      </c>
      <c r="F2" s="6">
        <f t="shared" ref="F2:F43" si="0">(E2*140%)*121%</f>
        <v>4932.9279999999999</v>
      </c>
      <c r="G2" s="5">
        <f>F2*92%</f>
        <v>4538.2937600000005</v>
      </c>
      <c r="H2" s="7">
        <f>F2*105%</f>
        <v>5179.5744000000004</v>
      </c>
      <c r="I2" s="5">
        <f>F2</f>
        <v>4932.9279999999999</v>
      </c>
      <c r="J2" s="5">
        <f>F2*105%</f>
        <v>5179.5744000000004</v>
      </c>
      <c r="K2" s="5">
        <f t="shared" ref="K2:K43" si="1">F2*110%</f>
        <v>5426.2208000000001</v>
      </c>
    </row>
    <row r="3" spans="1:12" ht="19.5" customHeight="1" x14ac:dyDescent="0.55000000000000004">
      <c r="A3" s="3" t="s">
        <v>13</v>
      </c>
      <c r="B3" s="3" t="s">
        <v>11</v>
      </c>
      <c r="C3" s="4" t="s">
        <v>14</v>
      </c>
      <c r="D3" s="3"/>
      <c r="E3" s="5">
        <v>2912</v>
      </c>
      <c r="F3" s="6">
        <f t="shared" si="0"/>
        <v>4932.9279999999999</v>
      </c>
      <c r="G3" s="5">
        <f t="shared" ref="G3:G43" si="2">F3*92%</f>
        <v>4538.2937600000005</v>
      </c>
      <c r="H3" s="7">
        <f t="shared" ref="H3:H43" si="3">F3*105%</f>
        <v>5179.5744000000004</v>
      </c>
      <c r="I3" s="5">
        <f t="shared" ref="I3:I43" si="4">F3</f>
        <v>4932.9279999999999</v>
      </c>
      <c r="J3" s="5">
        <f t="shared" ref="J3:J43" si="5">F3*105%</f>
        <v>5179.5744000000004</v>
      </c>
      <c r="K3" s="5">
        <f t="shared" si="1"/>
        <v>5426.2208000000001</v>
      </c>
    </row>
    <row r="4" spans="1:12" ht="19.5" customHeight="1" x14ac:dyDescent="0.55000000000000004">
      <c r="A4" s="3" t="s">
        <v>15</v>
      </c>
      <c r="B4" s="3" t="s">
        <v>11</v>
      </c>
      <c r="C4" s="4" t="s">
        <v>14</v>
      </c>
      <c r="D4" s="3"/>
      <c r="E4" s="5">
        <v>3135.77</v>
      </c>
      <c r="F4" s="6">
        <f t="shared" si="0"/>
        <v>5311.9943799999992</v>
      </c>
      <c r="G4" s="5">
        <f t="shared" si="2"/>
        <v>4887.0348295999993</v>
      </c>
      <c r="H4" s="8">
        <f t="shared" si="3"/>
        <v>5577.594098999999</v>
      </c>
      <c r="I4" s="5">
        <f t="shared" si="4"/>
        <v>5311.9943799999992</v>
      </c>
      <c r="J4" s="5">
        <f t="shared" si="5"/>
        <v>5577.594098999999</v>
      </c>
      <c r="K4" s="5">
        <f t="shared" si="1"/>
        <v>5843.1938179999997</v>
      </c>
    </row>
    <row r="5" spans="1:12" ht="19.5" customHeight="1" x14ac:dyDescent="0.55000000000000004">
      <c r="A5" s="4" t="s">
        <v>16</v>
      </c>
      <c r="B5" s="3" t="s">
        <v>17</v>
      </c>
      <c r="C5" s="4" t="s">
        <v>18</v>
      </c>
      <c r="D5" s="3"/>
      <c r="E5" s="5">
        <v>5785.1239669421493</v>
      </c>
      <c r="F5" s="6">
        <f t="shared" si="0"/>
        <v>9800</v>
      </c>
      <c r="G5" s="5">
        <f t="shared" si="2"/>
        <v>9016</v>
      </c>
      <c r="H5" s="8">
        <f t="shared" si="3"/>
        <v>10290</v>
      </c>
      <c r="I5" s="5">
        <f t="shared" si="4"/>
        <v>9800</v>
      </c>
      <c r="J5" s="5">
        <f t="shared" si="5"/>
        <v>10290</v>
      </c>
      <c r="K5" s="5">
        <f t="shared" si="1"/>
        <v>10780</v>
      </c>
      <c r="L5" s="9"/>
    </row>
    <row r="6" spans="1:12" ht="19.5" customHeight="1" x14ac:dyDescent="0.55000000000000004">
      <c r="A6" s="4" t="s">
        <v>19</v>
      </c>
      <c r="B6" s="3" t="s">
        <v>20</v>
      </c>
      <c r="C6" s="4" t="s">
        <v>21</v>
      </c>
      <c r="D6" s="3">
        <v>6</v>
      </c>
      <c r="E6" s="5">
        <v>9663.1404958677685</v>
      </c>
      <c r="F6" s="6">
        <f t="shared" si="0"/>
        <v>16369.359999999997</v>
      </c>
      <c r="G6" s="5">
        <f t="shared" si="2"/>
        <v>15059.811199999998</v>
      </c>
      <c r="H6" s="8">
        <f t="shared" si="3"/>
        <v>17187.827999999998</v>
      </c>
      <c r="I6" s="5">
        <f t="shared" si="4"/>
        <v>16369.359999999997</v>
      </c>
      <c r="J6" s="5">
        <f t="shared" si="5"/>
        <v>17187.827999999998</v>
      </c>
      <c r="K6" s="5">
        <f t="shared" si="1"/>
        <v>18006.295999999998</v>
      </c>
    </row>
    <row r="7" spans="1:12" ht="18.75" customHeight="1" x14ac:dyDescent="0.55000000000000004">
      <c r="A7" s="4" t="s">
        <v>22</v>
      </c>
      <c r="B7" s="3" t="s">
        <v>17</v>
      </c>
      <c r="C7" s="4" t="s">
        <v>21</v>
      </c>
      <c r="D7" s="3">
        <v>1</v>
      </c>
      <c r="E7" s="5">
        <v>3221.0468319559232</v>
      </c>
      <c r="F7" s="6">
        <f t="shared" si="0"/>
        <v>5456.4533333333338</v>
      </c>
      <c r="G7" s="5">
        <f t="shared" si="2"/>
        <v>5019.9370666666673</v>
      </c>
      <c r="H7" s="8">
        <f t="shared" si="3"/>
        <v>5729.2760000000007</v>
      </c>
      <c r="I7" s="5">
        <f t="shared" si="4"/>
        <v>5456.4533333333338</v>
      </c>
      <c r="J7" s="5">
        <f t="shared" si="5"/>
        <v>5729.2760000000007</v>
      </c>
      <c r="K7" s="5">
        <f t="shared" si="1"/>
        <v>6002.0986666666677</v>
      </c>
    </row>
    <row r="8" spans="1:12" ht="18.75" customHeight="1" x14ac:dyDescent="0.55000000000000004">
      <c r="A8" s="4" t="s">
        <v>23</v>
      </c>
      <c r="B8" s="3" t="s">
        <v>17</v>
      </c>
      <c r="C8" s="4" t="s">
        <v>24</v>
      </c>
      <c r="D8" s="3"/>
      <c r="E8" s="5">
        <v>923.96694214876038</v>
      </c>
      <c r="F8" s="6">
        <f t="shared" si="0"/>
        <v>1565.1999999999998</v>
      </c>
      <c r="G8" s="5">
        <f t="shared" si="2"/>
        <v>1439.9839999999999</v>
      </c>
      <c r="H8" s="8">
        <f t="shared" si="3"/>
        <v>1643.4599999999998</v>
      </c>
      <c r="I8" s="5">
        <f t="shared" si="4"/>
        <v>1565.1999999999998</v>
      </c>
      <c r="J8" s="5">
        <f t="shared" si="5"/>
        <v>1643.4599999999998</v>
      </c>
      <c r="K8" s="5">
        <f t="shared" si="1"/>
        <v>1721.72</v>
      </c>
    </row>
    <row r="9" spans="1:12" ht="19.5" customHeight="1" x14ac:dyDescent="0.55000000000000004">
      <c r="A9" s="4" t="s">
        <v>25</v>
      </c>
      <c r="B9" s="3" t="s">
        <v>17</v>
      </c>
      <c r="C9" s="4" t="s">
        <v>24</v>
      </c>
      <c r="D9" s="3"/>
      <c r="E9" s="5">
        <v>1833.2231404958677</v>
      </c>
      <c r="F9" s="6">
        <f t="shared" si="0"/>
        <v>3105.4799999999996</v>
      </c>
      <c r="G9" s="5">
        <f t="shared" si="2"/>
        <v>2857.0415999999996</v>
      </c>
      <c r="H9" s="8">
        <f t="shared" si="3"/>
        <v>3260.7539999999999</v>
      </c>
      <c r="I9" s="5">
        <f t="shared" si="4"/>
        <v>3105.4799999999996</v>
      </c>
      <c r="J9" s="5">
        <f t="shared" si="5"/>
        <v>3260.7539999999999</v>
      </c>
      <c r="K9" s="5">
        <f t="shared" si="1"/>
        <v>3416.0279999999998</v>
      </c>
    </row>
    <row r="10" spans="1:12" ht="19.5" customHeight="1" x14ac:dyDescent="0.55000000000000004">
      <c r="A10" s="4" t="s">
        <v>26</v>
      </c>
      <c r="B10" s="3" t="s">
        <v>17</v>
      </c>
      <c r="C10" s="4" t="s">
        <v>24</v>
      </c>
      <c r="D10" s="3"/>
      <c r="E10" s="5">
        <v>2355.3719008264466</v>
      </c>
      <c r="F10" s="6">
        <f t="shared" si="0"/>
        <v>3990.0000000000005</v>
      </c>
      <c r="G10" s="5">
        <f t="shared" si="2"/>
        <v>3670.8000000000006</v>
      </c>
      <c r="H10" s="8">
        <f t="shared" si="3"/>
        <v>4189.5000000000009</v>
      </c>
      <c r="I10" s="5">
        <f t="shared" si="4"/>
        <v>3990.0000000000005</v>
      </c>
      <c r="J10" s="5">
        <f t="shared" si="5"/>
        <v>4189.5000000000009</v>
      </c>
      <c r="K10" s="5">
        <f t="shared" si="1"/>
        <v>4389.0000000000009</v>
      </c>
    </row>
    <row r="11" spans="1:12" ht="19.5" customHeight="1" x14ac:dyDescent="0.55000000000000004">
      <c r="A11" s="4" t="s">
        <v>27</v>
      </c>
      <c r="B11" s="4" t="s">
        <v>17</v>
      </c>
      <c r="C11" s="4" t="s">
        <v>18</v>
      </c>
      <c r="D11" s="3"/>
      <c r="E11" s="5">
        <v>766.11570247933889</v>
      </c>
      <c r="F11" s="6">
        <f t="shared" si="0"/>
        <v>1297.8</v>
      </c>
      <c r="G11" s="5">
        <f t="shared" si="2"/>
        <v>1193.9760000000001</v>
      </c>
      <c r="H11" s="8">
        <f t="shared" si="3"/>
        <v>1362.69</v>
      </c>
      <c r="I11" s="5">
        <f t="shared" si="4"/>
        <v>1297.8</v>
      </c>
      <c r="J11" s="5">
        <f t="shared" si="5"/>
        <v>1362.69</v>
      </c>
      <c r="K11" s="5">
        <f t="shared" si="1"/>
        <v>1427.5800000000002</v>
      </c>
    </row>
    <row r="12" spans="1:12" ht="19.5" customHeight="1" x14ac:dyDescent="0.55000000000000004">
      <c r="A12" s="4" t="s">
        <v>28</v>
      </c>
      <c r="B12" s="4" t="s">
        <v>17</v>
      </c>
      <c r="C12" s="4" t="s">
        <v>18</v>
      </c>
      <c r="D12" s="3"/>
      <c r="E12" s="5">
        <v>498.34710743801656</v>
      </c>
      <c r="F12" s="6">
        <f t="shared" si="0"/>
        <v>844.2</v>
      </c>
      <c r="G12" s="5">
        <f t="shared" si="2"/>
        <v>776.6640000000001</v>
      </c>
      <c r="H12" s="8">
        <f t="shared" si="3"/>
        <v>886.41000000000008</v>
      </c>
      <c r="I12" s="5">
        <f t="shared" si="4"/>
        <v>844.2</v>
      </c>
      <c r="J12" s="5">
        <f t="shared" si="5"/>
        <v>886.41000000000008</v>
      </c>
      <c r="K12" s="5">
        <f t="shared" si="1"/>
        <v>928.62000000000012</v>
      </c>
    </row>
    <row r="13" spans="1:12" ht="19.5" customHeight="1" x14ac:dyDescent="0.55000000000000004">
      <c r="A13" s="4" t="s">
        <v>29</v>
      </c>
      <c r="B13" s="4" t="s">
        <v>17</v>
      </c>
      <c r="C13" s="4" t="s">
        <v>18</v>
      </c>
      <c r="D13" s="3"/>
      <c r="E13" s="5">
        <v>517.35537190082641</v>
      </c>
      <c r="F13" s="6">
        <f t="shared" si="0"/>
        <v>876.39999999999986</v>
      </c>
      <c r="G13" s="5">
        <f t="shared" si="2"/>
        <v>806.2879999999999</v>
      </c>
      <c r="H13" s="8">
        <f t="shared" si="3"/>
        <v>920.21999999999991</v>
      </c>
      <c r="I13" s="5">
        <f t="shared" si="4"/>
        <v>876.39999999999986</v>
      </c>
      <c r="J13" s="5">
        <f t="shared" si="5"/>
        <v>920.21999999999991</v>
      </c>
      <c r="K13" s="5">
        <f t="shared" si="1"/>
        <v>964.04</v>
      </c>
    </row>
    <row r="14" spans="1:12" ht="19.5" customHeight="1" x14ac:dyDescent="0.55000000000000004">
      <c r="A14" s="4" t="s">
        <v>30</v>
      </c>
      <c r="B14" s="4" t="s">
        <v>17</v>
      </c>
      <c r="C14" s="4" t="s">
        <v>18</v>
      </c>
      <c r="D14" s="3"/>
      <c r="E14" s="5">
        <v>785.12396694214874</v>
      </c>
      <c r="F14" s="6">
        <f t="shared" si="0"/>
        <v>1329.9999999999998</v>
      </c>
      <c r="G14" s="5">
        <f t="shared" si="2"/>
        <v>1223.5999999999999</v>
      </c>
      <c r="H14" s="8">
        <f t="shared" si="3"/>
        <v>1396.4999999999998</v>
      </c>
      <c r="I14" s="5">
        <f t="shared" si="4"/>
        <v>1329.9999999999998</v>
      </c>
      <c r="J14" s="5">
        <f t="shared" si="5"/>
        <v>1396.4999999999998</v>
      </c>
      <c r="K14" s="5">
        <f t="shared" si="1"/>
        <v>1462.9999999999998</v>
      </c>
    </row>
    <row r="15" spans="1:12" ht="19.5" customHeight="1" x14ac:dyDescent="0.55000000000000004">
      <c r="A15" s="4" t="s">
        <v>31</v>
      </c>
      <c r="B15" s="4" t="s">
        <v>17</v>
      </c>
      <c r="C15" s="4" t="s">
        <v>24</v>
      </c>
      <c r="D15" s="4">
        <v>100</v>
      </c>
      <c r="E15" s="5">
        <v>25867.768595041322</v>
      </c>
      <c r="F15" s="6">
        <f t="shared" si="0"/>
        <v>43819.999999999993</v>
      </c>
      <c r="G15" s="5">
        <f t="shared" si="2"/>
        <v>40314.399999999994</v>
      </c>
      <c r="H15" s="8">
        <f t="shared" si="3"/>
        <v>46010.999999999993</v>
      </c>
      <c r="I15" s="5">
        <f t="shared" si="4"/>
        <v>43819.999999999993</v>
      </c>
      <c r="J15" s="5">
        <f t="shared" si="5"/>
        <v>46010.999999999993</v>
      </c>
      <c r="K15" s="5">
        <f t="shared" si="1"/>
        <v>48201.999999999993</v>
      </c>
    </row>
    <row r="16" spans="1:12" ht="19.5" customHeight="1" x14ac:dyDescent="0.55000000000000004">
      <c r="A16" s="4" t="s">
        <v>32</v>
      </c>
      <c r="B16" s="4" t="s">
        <v>17</v>
      </c>
      <c r="C16" s="4" t="s">
        <v>24</v>
      </c>
      <c r="D16" s="4">
        <v>500</v>
      </c>
      <c r="E16" s="5">
        <v>97768.595041322318</v>
      </c>
      <c r="F16" s="6">
        <f t="shared" si="0"/>
        <v>165620</v>
      </c>
      <c r="G16" s="5">
        <f t="shared" si="2"/>
        <v>152370.4</v>
      </c>
      <c r="H16" s="8">
        <f t="shared" si="3"/>
        <v>173901</v>
      </c>
      <c r="I16" s="5">
        <f t="shared" si="4"/>
        <v>165620</v>
      </c>
      <c r="J16" s="5">
        <f t="shared" si="5"/>
        <v>173901</v>
      </c>
      <c r="K16" s="5">
        <f t="shared" si="1"/>
        <v>182182.00000000003</v>
      </c>
    </row>
    <row r="17" spans="1:11" ht="19.5" customHeight="1" x14ac:dyDescent="0.55000000000000004">
      <c r="A17" s="4" t="s">
        <v>33</v>
      </c>
      <c r="B17" s="4" t="s">
        <v>20</v>
      </c>
      <c r="C17" s="4" t="s">
        <v>24</v>
      </c>
      <c r="D17" s="4">
        <v>1</v>
      </c>
      <c r="E17" s="5">
        <v>258.67768595041321</v>
      </c>
      <c r="F17" s="6">
        <f t="shared" si="0"/>
        <v>438.19999999999993</v>
      </c>
      <c r="G17" s="5">
        <f t="shared" si="2"/>
        <v>403.14399999999995</v>
      </c>
      <c r="H17" s="8">
        <f t="shared" si="3"/>
        <v>460.10999999999996</v>
      </c>
      <c r="I17" s="5">
        <f t="shared" si="4"/>
        <v>438.19999999999993</v>
      </c>
      <c r="J17" s="5">
        <f t="shared" si="5"/>
        <v>460.10999999999996</v>
      </c>
      <c r="K17" s="5">
        <f t="shared" si="1"/>
        <v>482.02</v>
      </c>
    </row>
    <row r="18" spans="1:11" ht="19.5" customHeight="1" x14ac:dyDescent="0.55000000000000004">
      <c r="A18" s="4" t="s">
        <v>61</v>
      </c>
      <c r="B18" s="4" t="s">
        <v>20</v>
      </c>
      <c r="C18" s="4" t="s">
        <v>34</v>
      </c>
      <c r="D18" s="4">
        <v>1000</v>
      </c>
      <c r="E18" s="5">
        <v>146405.31404958677</v>
      </c>
      <c r="F18" s="6">
        <f t="shared" si="0"/>
        <v>248010.60199999996</v>
      </c>
      <c r="G18" s="5">
        <f t="shared" si="2"/>
        <v>228169.75383999996</v>
      </c>
      <c r="H18" s="8">
        <f t="shared" si="3"/>
        <v>260411.13209999996</v>
      </c>
      <c r="I18" s="5">
        <f t="shared" si="4"/>
        <v>248010.60199999996</v>
      </c>
      <c r="J18" s="5">
        <f t="shared" si="5"/>
        <v>260411.13209999996</v>
      </c>
      <c r="K18" s="5">
        <f t="shared" si="1"/>
        <v>272811.66219999996</v>
      </c>
    </row>
    <row r="19" spans="1:11" ht="19.5" customHeight="1" x14ac:dyDescent="0.55000000000000004">
      <c r="A19" s="4" t="s">
        <v>62</v>
      </c>
      <c r="B19" s="4" t="s">
        <v>20</v>
      </c>
      <c r="C19" s="4" t="s">
        <v>35</v>
      </c>
      <c r="D19" s="4">
        <v>1000</v>
      </c>
      <c r="E19" s="5">
        <v>135600.82644628099</v>
      </c>
      <c r="F19" s="10">
        <f t="shared" si="0"/>
        <v>229707.8</v>
      </c>
      <c r="G19" s="5">
        <f t="shared" si="2"/>
        <v>211331.17600000001</v>
      </c>
      <c r="H19" s="8">
        <f t="shared" si="3"/>
        <v>241193.19</v>
      </c>
      <c r="I19" s="5">
        <f t="shared" si="4"/>
        <v>229707.8</v>
      </c>
      <c r="J19" s="5">
        <f t="shared" si="5"/>
        <v>241193.19</v>
      </c>
      <c r="K19" s="5">
        <f t="shared" si="1"/>
        <v>252678.58000000002</v>
      </c>
    </row>
    <row r="20" spans="1:11" ht="18.75" customHeight="1" x14ac:dyDescent="0.55000000000000004">
      <c r="A20" s="4" t="s">
        <v>63</v>
      </c>
      <c r="B20" s="4" t="s">
        <v>20</v>
      </c>
      <c r="C20" s="4" t="s">
        <v>34</v>
      </c>
      <c r="D20" s="4">
        <v>1</v>
      </c>
      <c r="E20" s="5">
        <v>146.40531404958679</v>
      </c>
      <c r="F20" s="6">
        <f t="shared" si="0"/>
        <v>248.01060200000001</v>
      </c>
      <c r="G20" s="5">
        <f t="shared" si="2"/>
        <v>228.16975384000003</v>
      </c>
      <c r="H20" s="8">
        <f t="shared" si="3"/>
        <v>260.41113210000003</v>
      </c>
      <c r="I20" s="5">
        <f t="shared" si="4"/>
        <v>248.01060200000001</v>
      </c>
      <c r="J20" s="5">
        <f t="shared" si="5"/>
        <v>260.41113210000003</v>
      </c>
      <c r="K20" s="5">
        <f t="shared" si="1"/>
        <v>272.8116622</v>
      </c>
    </row>
    <row r="21" spans="1:11" ht="19.5" customHeight="1" x14ac:dyDescent="0.55000000000000004">
      <c r="A21" s="4" t="s">
        <v>64</v>
      </c>
      <c r="B21" s="4" t="s">
        <v>20</v>
      </c>
      <c r="C21" s="4" t="s">
        <v>35</v>
      </c>
      <c r="D21" s="4">
        <v>1</v>
      </c>
      <c r="E21" s="5">
        <v>135.60082644628099</v>
      </c>
      <c r="F21" s="6">
        <f t="shared" si="0"/>
        <v>229.70779999999996</v>
      </c>
      <c r="G21" s="5">
        <f t="shared" si="2"/>
        <v>211.33117599999997</v>
      </c>
      <c r="H21" s="8">
        <f t="shared" si="3"/>
        <v>241.19318999999996</v>
      </c>
      <c r="I21" s="5">
        <f t="shared" si="4"/>
        <v>229.70779999999996</v>
      </c>
      <c r="J21" s="5">
        <f t="shared" si="5"/>
        <v>241.19318999999996</v>
      </c>
      <c r="K21" s="5">
        <f t="shared" si="1"/>
        <v>252.67857999999998</v>
      </c>
    </row>
    <row r="22" spans="1:11" ht="19.5" customHeight="1" x14ac:dyDescent="0.55000000000000004">
      <c r="A22" s="4" t="s">
        <v>36</v>
      </c>
      <c r="B22" s="11" t="s">
        <v>11</v>
      </c>
      <c r="C22" s="11" t="s">
        <v>65</v>
      </c>
      <c r="D22" s="12"/>
      <c r="E22" s="13">
        <v>2571.5537190082646</v>
      </c>
      <c r="F22" s="6">
        <f t="shared" si="0"/>
        <v>4356.2119999999995</v>
      </c>
      <c r="G22" s="13">
        <f t="shared" si="2"/>
        <v>4007.7150399999996</v>
      </c>
      <c r="H22" s="14">
        <f t="shared" si="3"/>
        <v>4574.0225999999993</v>
      </c>
      <c r="I22" s="13">
        <f t="shared" si="4"/>
        <v>4356.2119999999995</v>
      </c>
      <c r="J22" s="13">
        <f t="shared" si="5"/>
        <v>4574.0225999999993</v>
      </c>
      <c r="K22" s="13">
        <f t="shared" si="1"/>
        <v>4791.8332</v>
      </c>
    </row>
    <row r="23" spans="1:11" ht="19.5" customHeight="1" x14ac:dyDescent="0.55000000000000004">
      <c r="A23" s="4" t="s">
        <v>37</v>
      </c>
      <c r="B23" s="11" t="s">
        <v>11</v>
      </c>
      <c r="C23" s="11" t="s">
        <v>66</v>
      </c>
      <c r="D23" s="12"/>
      <c r="E23" s="13">
        <v>2637.4297520661157</v>
      </c>
      <c r="F23" s="6">
        <f t="shared" si="0"/>
        <v>4467.8059999999996</v>
      </c>
      <c r="G23" s="13">
        <f t="shared" si="2"/>
        <v>4110.3815199999999</v>
      </c>
      <c r="H23" s="14">
        <f t="shared" si="3"/>
        <v>4691.1962999999996</v>
      </c>
      <c r="I23" s="13">
        <f t="shared" si="4"/>
        <v>4467.8059999999996</v>
      </c>
      <c r="J23" s="13">
        <f t="shared" si="5"/>
        <v>4691.1962999999996</v>
      </c>
      <c r="K23" s="13">
        <f t="shared" si="1"/>
        <v>4914.5865999999996</v>
      </c>
    </row>
    <row r="24" spans="1:11" ht="19.5" customHeight="1" x14ac:dyDescent="0.55000000000000004">
      <c r="A24" s="4" t="s">
        <v>38</v>
      </c>
      <c r="B24" s="11" t="s">
        <v>11</v>
      </c>
      <c r="C24" s="11" t="s">
        <v>67</v>
      </c>
      <c r="D24" s="12"/>
      <c r="E24" s="13">
        <v>2538.0991735537191</v>
      </c>
      <c r="F24" s="6">
        <f t="shared" si="0"/>
        <v>4299.54</v>
      </c>
      <c r="G24" s="13">
        <f t="shared" si="2"/>
        <v>3955.5768000000003</v>
      </c>
      <c r="H24" s="14">
        <f t="shared" si="3"/>
        <v>4514.5169999999998</v>
      </c>
      <c r="I24" s="13">
        <f t="shared" si="4"/>
        <v>4299.54</v>
      </c>
      <c r="J24" s="13">
        <f t="shared" si="5"/>
        <v>4514.5169999999998</v>
      </c>
      <c r="K24" s="13">
        <f t="shared" si="1"/>
        <v>4729.4940000000006</v>
      </c>
    </row>
    <row r="25" spans="1:11" ht="14.25" customHeight="1" x14ac:dyDescent="0.55000000000000004">
      <c r="A25" s="4" t="s">
        <v>39</v>
      </c>
      <c r="B25" s="11" t="s">
        <v>11</v>
      </c>
      <c r="C25" s="11" t="s">
        <v>11</v>
      </c>
      <c r="D25" s="12"/>
      <c r="E25" s="13">
        <v>2829.3057851239669</v>
      </c>
      <c r="F25" s="6">
        <f t="shared" si="0"/>
        <v>4792.8440000000001</v>
      </c>
      <c r="G25" s="13">
        <f t="shared" si="2"/>
        <v>4409.4164799999999</v>
      </c>
      <c r="H25" s="14">
        <f t="shared" si="3"/>
        <v>5032.4862000000003</v>
      </c>
      <c r="I25" s="13">
        <f t="shared" si="4"/>
        <v>4792.8440000000001</v>
      </c>
      <c r="J25" s="13">
        <f t="shared" si="5"/>
        <v>5032.4862000000003</v>
      </c>
      <c r="K25" s="13">
        <f t="shared" si="1"/>
        <v>5272.1284000000005</v>
      </c>
    </row>
    <row r="26" spans="1:11" ht="14.25" customHeight="1" x14ac:dyDescent="0.55000000000000004">
      <c r="A26" s="4" t="s">
        <v>40</v>
      </c>
      <c r="B26" s="11" t="s">
        <v>41</v>
      </c>
      <c r="C26" s="11" t="s">
        <v>41</v>
      </c>
      <c r="D26" s="12"/>
      <c r="E26" s="13">
        <v>17851.239669421488</v>
      </c>
      <c r="F26" s="6">
        <f t="shared" si="0"/>
        <v>30239.999999999996</v>
      </c>
      <c r="G26" s="13">
        <f t="shared" si="2"/>
        <v>27820.799999999999</v>
      </c>
      <c r="H26" s="14">
        <f t="shared" si="3"/>
        <v>31751.999999999996</v>
      </c>
      <c r="I26" s="13">
        <f t="shared" si="4"/>
        <v>30239.999999999996</v>
      </c>
      <c r="J26" s="13">
        <f t="shared" si="5"/>
        <v>31751.999999999996</v>
      </c>
      <c r="K26" s="13">
        <f t="shared" si="1"/>
        <v>33264</v>
      </c>
    </row>
    <row r="27" spans="1:11" ht="14.25" customHeight="1" x14ac:dyDescent="0.55000000000000004">
      <c r="A27" s="4" t="s">
        <v>42</v>
      </c>
      <c r="B27" s="11" t="s">
        <v>41</v>
      </c>
      <c r="C27" s="11" t="s">
        <v>41</v>
      </c>
      <c r="D27" s="12"/>
      <c r="E27" s="13">
        <v>17851.239669421488</v>
      </c>
      <c r="F27" s="6">
        <f t="shared" si="0"/>
        <v>30239.999999999996</v>
      </c>
      <c r="G27" s="13">
        <f t="shared" si="2"/>
        <v>27820.799999999999</v>
      </c>
      <c r="H27" s="14">
        <f t="shared" si="3"/>
        <v>31751.999999999996</v>
      </c>
      <c r="I27" s="13">
        <f t="shared" si="4"/>
        <v>30239.999999999996</v>
      </c>
      <c r="J27" s="13">
        <f t="shared" si="5"/>
        <v>31751.999999999996</v>
      </c>
      <c r="K27" s="13">
        <f t="shared" si="1"/>
        <v>33264</v>
      </c>
    </row>
    <row r="28" spans="1:11" ht="14.25" customHeight="1" x14ac:dyDescent="0.55000000000000004">
      <c r="A28" s="4" t="s">
        <v>43</v>
      </c>
      <c r="B28" s="11" t="s">
        <v>17</v>
      </c>
      <c r="C28" s="11" t="s">
        <v>44</v>
      </c>
      <c r="D28" s="12"/>
      <c r="E28" s="13">
        <v>6752.0661157024797</v>
      </c>
      <c r="F28" s="6">
        <f t="shared" si="0"/>
        <v>11438</v>
      </c>
      <c r="G28" s="13">
        <f t="shared" si="2"/>
        <v>10522.960000000001</v>
      </c>
      <c r="H28" s="14">
        <f t="shared" si="3"/>
        <v>12009.9</v>
      </c>
      <c r="I28" s="13">
        <f t="shared" si="4"/>
        <v>11438</v>
      </c>
      <c r="J28" s="13">
        <f t="shared" si="5"/>
        <v>12009.9</v>
      </c>
      <c r="K28" s="13">
        <f t="shared" si="1"/>
        <v>12581.800000000001</v>
      </c>
    </row>
    <row r="29" spans="1:11" ht="14.25" customHeight="1" x14ac:dyDescent="0.55000000000000004">
      <c r="A29" s="4" t="s">
        <v>45</v>
      </c>
      <c r="B29" s="11" t="s">
        <v>17</v>
      </c>
      <c r="C29" s="11" t="s">
        <v>44</v>
      </c>
      <c r="D29" s="12"/>
      <c r="E29" s="13">
        <v>2113.6363636363635</v>
      </c>
      <c r="F29" s="6">
        <f t="shared" si="0"/>
        <v>3580.4999999999991</v>
      </c>
      <c r="G29" s="13">
        <f t="shared" si="2"/>
        <v>3294.0599999999995</v>
      </c>
      <c r="H29" s="14">
        <f t="shared" si="3"/>
        <v>3759.5249999999992</v>
      </c>
      <c r="I29" s="13">
        <f t="shared" si="4"/>
        <v>3580.4999999999991</v>
      </c>
      <c r="J29" s="13">
        <f t="shared" si="5"/>
        <v>3759.5249999999992</v>
      </c>
      <c r="K29" s="13">
        <f t="shared" si="1"/>
        <v>3938.5499999999993</v>
      </c>
    </row>
    <row r="30" spans="1:11" ht="14.25" customHeight="1" x14ac:dyDescent="0.55000000000000004">
      <c r="A30" s="4" t="s">
        <v>46</v>
      </c>
      <c r="B30" s="11" t="s">
        <v>17</v>
      </c>
      <c r="C30" s="11" t="s">
        <v>44</v>
      </c>
      <c r="D30" s="12"/>
      <c r="E30" s="13">
        <v>10743.801652892562</v>
      </c>
      <c r="F30" s="6">
        <f t="shared" si="0"/>
        <v>18199.999999999996</v>
      </c>
      <c r="G30" s="13">
        <f t="shared" si="2"/>
        <v>16743.999999999996</v>
      </c>
      <c r="H30" s="13">
        <f t="shared" si="3"/>
        <v>19109.999999999996</v>
      </c>
      <c r="I30" s="13">
        <f t="shared" si="4"/>
        <v>18199.999999999996</v>
      </c>
      <c r="J30" s="13">
        <f t="shared" si="5"/>
        <v>19109.999999999996</v>
      </c>
      <c r="K30" s="13">
        <f t="shared" si="1"/>
        <v>20019.999999999996</v>
      </c>
    </row>
    <row r="31" spans="1:11" ht="14.25" customHeight="1" x14ac:dyDescent="0.55000000000000004">
      <c r="A31" s="4" t="s">
        <v>47</v>
      </c>
      <c r="B31" s="11" t="s">
        <v>17</v>
      </c>
      <c r="C31" s="11" t="s">
        <v>44</v>
      </c>
      <c r="D31" s="12"/>
      <c r="E31" s="13">
        <v>16528.92561983471</v>
      </c>
      <c r="F31" s="6">
        <f t="shared" si="0"/>
        <v>27999.999999999996</v>
      </c>
      <c r="G31" s="13">
        <f t="shared" si="2"/>
        <v>25759.999999999996</v>
      </c>
      <c r="H31" s="13">
        <f t="shared" si="3"/>
        <v>29399.999999999996</v>
      </c>
      <c r="I31" s="13">
        <f t="shared" si="4"/>
        <v>27999.999999999996</v>
      </c>
      <c r="J31" s="13">
        <f t="shared" si="5"/>
        <v>29399.999999999996</v>
      </c>
      <c r="K31" s="13">
        <f t="shared" si="1"/>
        <v>30800</v>
      </c>
    </row>
    <row r="32" spans="1:11" ht="14.25" customHeight="1" x14ac:dyDescent="0.55000000000000004">
      <c r="A32" s="4" t="s">
        <v>48</v>
      </c>
      <c r="B32" s="11" t="s">
        <v>17</v>
      </c>
      <c r="C32" s="11" t="s">
        <v>49</v>
      </c>
      <c r="D32" s="12"/>
      <c r="E32" s="13">
        <v>2684.2066115702478</v>
      </c>
      <c r="F32" s="6">
        <f t="shared" si="0"/>
        <v>4547.0459999999994</v>
      </c>
      <c r="G32" s="13">
        <f t="shared" si="2"/>
        <v>4183.2823199999993</v>
      </c>
      <c r="H32" s="13">
        <f t="shared" si="3"/>
        <v>4774.3982999999998</v>
      </c>
      <c r="I32" s="13">
        <f t="shared" si="4"/>
        <v>4547.0459999999994</v>
      </c>
      <c r="J32" s="13">
        <f t="shared" si="5"/>
        <v>4774.3982999999998</v>
      </c>
      <c r="K32" s="13">
        <f t="shared" si="1"/>
        <v>5001.7505999999994</v>
      </c>
    </row>
    <row r="33" spans="1:11" ht="14.25" customHeight="1" x14ac:dyDescent="0.55000000000000004">
      <c r="A33" s="4" t="s">
        <v>50</v>
      </c>
      <c r="B33" s="11" t="s">
        <v>11</v>
      </c>
      <c r="C33" s="11" t="s">
        <v>44</v>
      </c>
      <c r="D33" s="12"/>
      <c r="E33" s="13">
        <v>2090.909090909091</v>
      </c>
      <c r="F33" s="6">
        <f t="shared" si="0"/>
        <v>3541.9999999999995</v>
      </c>
      <c r="G33" s="13">
        <f t="shared" si="2"/>
        <v>3258.64</v>
      </c>
      <c r="H33" s="13">
        <f t="shared" si="3"/>
        <v>3719.0999999999995</v>
      </c>
      <c r="I33" s="13">
        <f t="shared" si="4"/>
        <v>3541.9999999999995</v>
      </c>
      <c r="J33" s="13">
        <f t="shared" si="5"/>
        <v>3719.0999999999995</v>
      </c>
      <c r="K33" s="13">
        <f t="shared" si="1"/>
        <v>3896.2</v>
      </c>
    </row>
    <row r="34" spans="1:11" ht="14.25" customHeight="1" x14ac:dyDescent="0.55000000000000004">
      <c r="A34" s="4" t="s">
        <v>51</v>
      </c>
      <c r="B34" s="11" t="s">
        <v>17</v>
      </c>
      <c r="C34" s="11" t="s">
        <v>44</v>
      </c>
      <c r="D34" s="12"/>
      <c r="E34" s="13">
        <v>7437.1900826446281</v>
      </c>
      <c r="F34" s="6">
        <f t="shared" si="0"/>
        <v>12598.599999999999</v>
      </c>
      <c r="G34" s="13">
        <f t="shared" si="2"/>
        <v>11590.712</v>
      </c>
      <c r="H34" s="13">
        <f t="shared" si="3"/>
        <v>13228.529999999999</v>
      </c>
      <c r="I34" s="13">
        <f t="shared" si="4"/>
        <v>12598.599999999999</v>
      </c>
      <c r="J34" s="13">
        <f t="shared" si="5"/>
        <v>13228.529999999999</v>
      </c>
      <c r="K34" s="13">
        <f t="shared" si="1"/>
        <v>13858.46</v>
      </c>
    </row>
    <row r="35" spans="1:11" ht="14.25" customHeight="1" x14ac:dyDescent="0.55000000000000004">
      <c r="A35" s="4" t="s">
        <v>52</v>
      </c>
      <c r="B35" s="11" t="s">
        <v>17</v>
      </c>
      <c r="C35" s="11" t="s">
        <v>44</v>
      </c>
      <c r="D35" s="12"/>
      <c r="E35" s="13">
        <v>8305.7851239669417</v>
      </c>
      <c r="F35" s="6">
        <f t="shared" si="0"/>
        <v>14069.999999999998</v>
      </c>
      <c r="G35" s="13">
        <f t="shared" si="2"/>
        <v>12944.4</v>
      </c>
      <c r="H35" s="13">
        <f t="shared" si="3"/>
        <v>14773.499999999998</v>
      </c>
      <c r="I35" s="13">
        <f t="shared" si="4"/>
        <v>14069.999999999998</v>
      </c>
      <c r="J35" s="13">
        <f t="shared" si="5"/>
        <v>14773.499999999998</v>
      </c>
      <c r="K35" s="13">
        <f t="shared" si="1"/>
        <v>15477</v>
      </c>
    </row>
    <row r="36" spans="1:11" ht="14.25" customHeight="1" x14ac:dyDescent="0.55000000000000004">
      <c r="A36" s="4" t="s">
        <v>53</v>
      </c>
      <c r="B36" s="11" t="s">
        <v>17</v>
      </c>
      <c r="C36" s="11" t="s">
        <v>44</v>
      </c>
      <c r="D36" s="4"/>
      <c r="E36" s="13">
        <v>5004.1322314049585</v>
      </c>
      <c r="F36" s="6">
        <f t="shared" si="0"/>
        <v>8477</v>
      </c>
      <c r="G36" s="13">
        <f t="shared" si="2"/>
        <v>7798.84</v>
      </c>
      <c r="H36" s="13">
        <f t="shared" si="3"/>
        <v>8900.85</v>
      </c>
      <c r="I36" s="13">
        <f t="shared" si="4"/>
        <v>8477</v>
      </c>
      <c r="J36" s="13">
        <f t="shared" si="5"/>
        <v>8900.85</v>
      </c>
      <c r="K36" s="13">
        <f t="shared" si="1"/>
        <v>9324.7000000000007</v>
      </c>
    </row>
    <row r="37" spans="1:11" ht="14.25" customHeight="1" x14ac:dyDescent="0.55000000000000004">
      <c r="A37" s="4" t="s">
        <v>54</v>
      </c>
      <c r="B37" s="11" t="s">
        <v>17</v>
      </c>
      <c r="C37" s="11" t="s">
        <v>44</v>
      </c>
      <c r="D37" s="4"/>
      <c r="E37" s="13">
        <v>13185.950413223141</v>
      </c>
      <c r="F37" s="6">
        <f t="shared" si="0"/>
        <v>22336.999999999996</v>
      </c>
      <c r="G37" s="13">
        <f t="shared" si="2"/>
        <v>20550.039999999997</v>
      </c>
      <c r="H37" s="13">
        <f t="shared" si="3"/>
        <v>23453.85</v>
      </c>
      <c r="I37" s="13">
        <f t="shared" si="4"/>
        <v>22336.999999999996</v>
      </c>
      <c r="J37" s="13">
        <f t="shared" si="5"/>
        <v>23453.85</v>
      </c>
      <c r="K37" s="13">
        <f t="shared" si="1"/>
        <v>24570.699999999997</v>
      </c>
    </row>
    <row r="38" spans="1:11" ht="14.25" customHeight="1" x14ac:dyDescent="0.55000000000000004">
      <c r="A38" s="4" t="s">
        <v>55</v>
      </c>
      <c r="B38" s="11" t="s">
        <v>11</v>
      </c>
      <c r="C38" s="11" t="s">
        <v>44</v>
      </c>
      <c r="D38" s="4"/>
      <c r="E38" s="13">
        <v>15750.413223140496</v>
      </c>
      <c r="F38" s="6">
        <f t="shared" si="0"/>
        <v>26681.199999999997</v>
      </c>
      <c r="G38" s="13">
        <f t="shared" si="2"/>
        <v>24546.703999999998</v>
      </c>
      <c r="H38" s="14">
        <f t="shared" si="3"/>
        <v>28015.26</v>
      </c>
      <c r="I38" s="13">
        <f t="shared" si="4"/>
        <v>26681.199999999997</v>
      </c>
      <c r="J38" s="13">
        <f t="shared" si="5"/>
        <v>28015.26</v>
      </c>
      <c r="K38" s="13">
        <f t="shared" si="1"/>
        <v>29349.32</v>
      </c>
    </row>
    <row r="39" spans="1:11" ht="14.25" customHeight="1" x14ac:dyDescent="0.55000000000000004">
      <c r="A39" s="4" t="s">
        <v>56</v>
      </c>
      <c r="B39" s="11" t="s">
        <v>17</v>
      </c>
      <c r="C39" s="11" t="s">
        <v>44</v>
      </c>
      <c r="D39" s="4"/>
      <c r="E39" s="13">
        <v>2372.727272727273</v>
      </c>
      <c r="F39" s="6">
        <f t="shared" si="0"/>
        <v>4019.4</v>
      </c>
      <c r="G39" s="13">
        <f t="shared" si="2"/>
        <v>3697.8480000000004</v>
      </c>
      <c r="H39" s="14">
        <f t="shared" si="3"/>
        <v>4220.37</v>
      </c>
      <c r="I39" s="13">
        <f t="shared" si="4"/>
        <v>4019.4</v>
      </c>
      <c r="J39" s="13">
        <f t="shared" si="5"/>
        <v>4220.37</v>
      </c>
      <c r="K39" s="13">
        <f t="shared" si="1"/>
        <v>4421.34</v>
      </c>
    </row>
    <row r="40" spans="1:11" ht="14.25" customHeight="1" x14ac:dyDescent="0.55000000000000004">
      <c r="A40" s="4" t="s">
        <v>57</v>
      </c>
      <c r="B40" s="11" t="s">
        <v>17</v>
      </c>
      <c r="C40" s="11" t="s">
        <v>44</v>
      </c>
      <c r="D40" s="4"/>
      <c r="E40" s="13">
        <v>5004.1322314049585</v>
      </c>
      <c r="F40" s="6">
        <f t="shared" si="0"/>
        <v>8477</v>
      </c>
      <c r="G40" s="13">
        <f t="shared" si="2"/>
        <v>7798.84</v>
      </c>
      <c r="H40" s="14">
        <f t="shared" si="3"/>
        <v>8900.85</v>
      </c>
      <c r="I40" s="13">
        <f t="shared" si="4"/>
        <v>8477</v>
      </c>
      <c r="J40" s="13">
        <f t="shared" si="5"/>
        <v>8900.85</v>
      </c>
      <c r="K40" s="13">
        <f t="shared" si="1"/>
        <v>9324.7000000000007</v>
      </c>
    </row>
    <row r="41" spans="1:11" ht="14.25" customHeight="1" x14ac:dyDescent="0.55000000000000004">
      <c r="A41" s="4" t="s">
        <v>58</v>
      </c>
      <c r="B41" s="11" t="s">
        <v>17</v>
      </c>
      <c r="C41" s="11" t="s">
        <v>44</v>
      </c>
      <c r="D41" s="4"/>
      <c r="E41" s="13">
        <v>13185.950413223141</v>
      </c>
      <c r="F41" s="6">
        <f t="shared" si="0"/>
        <v>22336.999999999996</v>
      </c>
      <c r="G41" s="13">
        <f t="shared" si="2"/>
        <v>20550.039999999997</v>
      </c>
      <c r="H41" s="14">
        <f t="shared" si="3"/>
        <v>23453.85</v>
      </c>
      <c r="I41" s="13">
        <f t="shared" si="4"/>
        <v>22336.999999999996</v>
      </c>
      <c r="J41" s="13">
        <f t="shared" si="5"/>
        <v>23453.85</v>
      </c>
      <c r="K41" s="13">
        <f t="shared" si="1"/>
        <v>24570.699999999997</v>
      </c>
    </row>
    <row r="42" spans="1:11" ht="14.25" customHeight="1" x14ac:dyDescent="0.55000000000000004">
      <c r="A42" s="4" t="s">
        <v>59</v>
      </c>
      <c r="B42" s="11" t="s">
        <v>17</v>
      </c>
      <c r="C42" s="11" t="s">
        <v>44</v>
      </c>
      <c r="D42" s="4"/>
      <c r="E42" s="13">
        <v>14521.438016528926</v>
      </c>
      <c r="F42" s="6">
        <f t="shared" si="0"/>
        <v>24599.315999999995</v>
      </c>
      <c r="G42" s="13">
        <f t="shared" si="2"/>
        <v>22631.370719999995</v>
      </c>
      <c r="H42" s="14">
        <f t="shared" si="3"/>
        <v>25829.281799999997</v>
      </c>
      <c r="I42" s="13">
        <f t="shared" si="4"/>
        <v>24599.315999999995</v>
      </c>
      <c r="J42" s="13">
        <f t="shared" si="5"/>
        <v>25829.281799999997</v>
      </c>
      <c r="K42" s="13">
        <f t="shared" si="1"/>
        <v>27059.247599999999</v>
      </c>
    </row>
    <row r="43" spans="1:11" ht="14.25" customHeight="1" x14ac:dyDescent="0.55000000000000004">
      <c r="A43" s="4" t="s">
        <v>60</v>
      </c>
      <c r="B43" s="11" t="s">
        <v>17</v>
      </c>
      <c r="C43" s="11" t="s">
        <v>44</v>
      </c>
      <c r="D43" s="4"/>
      <c r="E43" s="13">
        <v>40955.950413223138</v>
      </c>
      <c r="F43" s="6">
        <f t="shared" si="0"/>
        <v>69379.37999999999</v>
      </c>
      <c r="G43" s="13">
        <f t="shared" si="2"/>
        <v>63829.029599999994</v>
      </c>
      <c r="H43" s="14">
        <f t="shared" si="3"/>
        <v>72848.348999999987</v>
      </c>
      <c r="I43" s="13">
        <f t="shared" si="4"/>
        <v>69379.37999999999</v>
      </c>
      <c r="J43" s="13">
        <f t="shared" si="5"/>
        <v>72848.348999999987</v>
      </c>
      <c r="K43" s="13">
        <f t="shared" si="1"/>
        <v>76317.317999999999</v>
      </c>
    </row>
    <row r="44" spans="1:11" ht="14.25" customHeight="1" x14ac:dyDescent="0.55000000000000004">
      <c r="A44" s="15"/>
      <c r="B44" s="15"/>
      <c r="C44" s="15"/>
      <c r="D44" s="15"/>
    </row>
    <row r="45" spans="1:11" ht="14.25" customHeight="1" x14ac:dyDescent="0.55000000000000004">
      <c r="A45" s="15"/>
      <c r="B45" s="15"/>
      <c r="C45" s="15"/>
      <c r="D45" s="15"/>
    </row>
    <row r="46" spans="1:11" ht="14.25" customHeight="1" x14ac:dyDescent="0.55000000000000004">
      <c r="A46" s="15"/>
      <c r="B46" s="15"/>
      <c r="C46" s="15"/>
      <c r="D46" s="15"/>
    </row>
    <row r="47" spans="1:11" ht="14.25" customHeight="1" x14ac:dyDescent="0.55000000000000004">
      <c r="A47" s="15"/>
      <c r="B47" s="15"/>
      <c r="C47" s="15"/>
      <c r="D47" s="15"/>
    </row>
    <row r="48" spans="1:11" ht="14.25" customHeight="1" x14ac:dyDescent="0.55000000000000004">
      <c r="A48" s="15"/>
      <c r="B48" s="15"/>
      <c r="C48" s="15"/>
      <c r="D48" s="15"/>
    </row>
    <row r="49" spans="1:4" ht="14.25" customHeight="1" x14ac:dyDescent="0.55000000000000004">
      <c r="A49" s="15"/>
      <c r="B49" s="15"/>
      <c r="C49" s="15"/>
      <c r="D49" s="15"/>
    </row>
    <row r="50" spans="1:4" ht="14.25" customHeight="1" x14ac:dyDescent="0.55000000000000004">
      <c r="A50" s="15"/>
      <c r="B50" s="15"/>
      <c r="C50" s="15"/>
      <c r="D50" s="15"/>
    </row>
    <row r="51" spans="1:4" ht="14.25" customHeight="1" x14ac:dyDescent="0.55000000000000004">
      <c r="A51" s="15"/>
      <c r="B51" s="15"/>
      <c r="C51" s="15"/>
      <c r="D51" s="15"/>
    </row>
    <row r="52" spans="1:4" ht="14.25" customHeight="1" x14ac:dyDescent="0.55000000000000004">
      <c r="A52" s="15"/>
      <c r="B52" s="15"/>
      <c r="C52" s="15"/>
      <c r="D52" s="15"/>
    </row>
    <row r="53" spans="1:4" ht="14.25" customHeight="1" x14ac:dyDescent="0.55000000000000004">
      <c r="A53" s="15"/>
      <c r="B53" s="15"/>
      <c r="C53" s="15"/>
      <c r="D53" s="15"/>
    </row>
    <row r="54" spans="1:4" ht="14.25" customHeight="1" x14ac:dyDescent="0.55000000000000004">
      <c r="A54" s="15"/>
      <c r="B54" s="15"/>
      <c r="C54" s="15"/>
      <c r="D54" s="15"/>
    </row>
    <row r="55" spans="1:4" ht="14.25" customHeight="1" x14ac:dyDescent="0.55000000000000004">
      <c r="A55" s="15"/>
      <c r="B55" s="15"/>
      <c r="C55" s="15"/>
      <c r="D55" s="15"/>
    </row>
    <row r="56" spans="1:4" ht="14.25" customHeight="1" x14ac:dyDescent="0.55000000000000004">
      <c r="A56" s="15"/>
      <c r="B56" s="15"/>
      <c r="C56" s="15"/>
      <c r="D56" s="15"/>
    </row>
    <row r="57" spans="1:4" ht="14.25" customHeight="1" x14ac:dyDescent="0.55000000000000004">
      <c r="A57" s="15"/>
      <c r="B57" s="15"/>
      <c r="C57" s="15"/>
      <c r="D57" s="15"/>
    </row>
    <row r="58" spans="1:4" ht="14.25" customHeight="1" x14ac:dyDescent="0.55000000000000004">
      <c r="A58" s="15"/>
      <c r="B58" s="15"/>
      <c r="C58" s="15"/>
      <c r="D58" s="15"/>
    </row>
    <row r="59" spans="1:4" ht="14.25" customHeight="1" x14ac:dyDescent="0.55000000000000004">
      <c r="A59" s="15"/>
      <c r="B59" s="15"/>
      <c r="C59" s="15"/>
      <c r="D59" s="15"/>
    </row>
    <row r="60" spans="1:4" ht="14.25" customHeight="1" x14ac:dyDescent="0.55000000000000004">
      <c r="A60" s="15"/>
      <c r="B60" s="15"/>
      <c r="C60" s="15"/>
      <c r="D60" s="15"/>
    </row>
    <row r="61" spans="1:4" ht="14.25" customHeight="1" x14ac:dyDescent="0.55000000000000004">
      <c r="A61" s="15"/>
      <c r="B61" s="15"/>
      <c r="C61" s="15"/>
      <c r="D61" s="15"/>
    </row>
    <row r="62" spans="1:4" ht="14.25" customHeight="1" x14ac:dyDescent="0.55000000000000004">
      <c r="A62" s="15"/>
      <c r="B62" s="15"/>
      <c r="C62" s="15"/>
      <c r="D62" s="15"/>
    </row>
    <row r="63" spans="1:4" ht="14.25" customHeight="1" x14ac:dyDescent="0.55000000000000004">
      <c r="A63" s="15"/>
      <c r="B63" s="15"/>
      <c r="C63" s="15"/>
      <c r="D63" s="15"/>
    </row>
    <row r="64" spans="1:4" ht="14.25" customHeight="1" x14ac:dyDescent="0.55000000000000004">
      <c r="A64" s="15"/>
      <c r="B64" s="15"/>
      <c r="C64" s="15"/>
      <c r="D64" s="15"/>
    </row>
    <row r="65" spans="1:4" ht="14.25" customHeight="1" x14ac:dyDescent="0.55000000000000004">
      <c r="A65" s="15"/>
      <c r="B65" s="15"/>
      <c r="C65" s="15"/>
      <c r="D65" s="15"/>
    </row>
    <row r="66" spans="1:4" ht="14.25" customHeight="1" x14ac:dyDescent="0.55000000000000004">
      <c r="A66" s="15"/>
      <c r="B66" s="15"/>
      <c r="C66" s="15"/>
      <c r="D66" s="15"/>
    </row>
    <row r="67" spans="1:4" ht="14.25" customHeight="1" x14ac:dyDescent="0.55000000000000004">
      <c r="A67" s="15"/>
      <c r="B67" s="15"/>
      <c r="C67" s="15"/>
      <c r="D67" s="15"/>
    </row>
    <row r="68" spans="1:4" ht="14.25" customHeight="1" x14ac:dyDescent="0.55000000000000004">
      <c r="A68" s="15"/>
      <c r="B68" s="15"/>
      <c r="C68" s="15"/>
      <c r="D68" s="15"/>
    </row>
    <row r="69" spans="1:4" ht="14.25" customHeight="1" x14ac:dyDescent="0.55000000000000004">
      <c r="A69" s="15"/>
      <c r="B69" s="15"/>
      <c r="C69" s="15"/>
      <c r="D69" s="15"/>
    </row>
    <row r="70" spans="1:4" ht="14.25" customHeight="1" x14ac:dyDescent="0.55000000000000004">
      <c r="A70" s="15"/>
      <c r="B70" s="15"/>
      <c r="C70" s="15"/>
      <c r="D70" s="15"/>
    </row>
    <row r="71" spans="1:4" ht="14.25" customHeight="1" x14ac:dyDescent="0.55000000000000004">
      <c r="A71" s="15"/>
      <c r="B71" s="15"/>
      <c r="C71" s="15"/>
      <c r="D71" s="15"/>
    </row>
    <row r="72" spans="1:4" ht="14.25" customHeight="1" x14ac:dyDescent="0.55000000000000004">
      <c r="A72" s="15"/>
      <c r="B72" s="15"/>
      <c r="C72" s="15"/>
      <c r="D72" s="15"/>
    </row>
    <row r="73" spans="1:4" ht="14.25" customHeight="1" x14ac:dyDescent="0.55000000000000004">
      <c r="A73" s="15"/>
      <c r="B73" s="15"/>
      <c r="C73" s="15"/>
      <c r="D73" s="15"/>
    </row>
    <row r="74" spans="1:4" ht="14.25" customHeight="1" x14ac:dyDescent="0.55000000000000004">
      <c r="A74" s="15"/>
      <c r="B74" s="15"/>
      <c r="C74" s="15"/>
      <c r="D74" s="15"/>
    </row>
    <row r="75" spans="1:4" ht="14.25" customHeight="1" x14ac:dyDescent="0.55000000000000004">
      <c r="A75" s="15"/>
      <c r="B75" s="15"/>
      <c r="C75" s="15"/>
      <c r="D75" s="15"/>
    </row>
    <row r="76" spans="1:4" ht="14.25" customHeight="1" x14ac:dyDescent="0.55000000000000004">
      <c r="A76" s="15"/>
      <c r="B76" s="15"/>
      <c r="C76" s="15"/>
      <c r="D76" s="15"/>
    </row>
    <row r="77" spans="1:4" ht="14.25" customHeight="1" x14ac:dyDescent="0.55000000000000004">
      <c r="A77" s="15"/>
      <c r="B77" s="15"/>
      <c r="C77" s="15"/>
      <c r="D77" s="15"/>
    </row>
    <row r="78" spans="1:4" ht="14.25" customHeight="1" x14ac:dyDescent="0.55000000000000004">
      <c r="A78" s="15"/>
      <c r="B78" s="15"/>
      <c r="C78" s="15"/>
      <c r="D78" s="15"/>
    </row>
    <row r="79" spans="1:4" ht="14.25" customHeight="1" x14ac:dyDescent="0.55000000000000004">
      <c r="A79" s="15"/>
      <c r="B79" s="15"/>
      <c r="C79" s="15"/>
      <c r="D79" s="15"/>
    </row>
    <row r="80" spans="1:4" ht="14.25" customHeight="1" x14ac:dyDescent="0.55000000000000004">
      <c r="A80" s="15"/>
      <c r="B80" s="15"/>
      <c r="C80" s="15"/>
      <c r="D80" s="15"/>
    </row>
    <row r="81" spans="1:4" ht="14.25" customHeight="1" x14ac:dyDescent="0.55000000000000004">
      <c r="A81" s="15"/>
      <c r="B81" s="15"/>
      <c r="C81" s="15"/>
      <c r="D81" s="15"/>
    </row>
    <row r="82" spans="1:4" ht="14.25" customHeight="1" x14ac:dyDescent="0.55000000000000004">
      <c r="A82" s="15"/>
      <c r="B82" s="15"/>
      <c r="C82" s="15"/>
      <c r="D82" s="15"/>
    </row>
    <row r="83" spans="1:4" ht="14.25" customHeight="1" x14ac:dyDescent="0.55000000000000004">
      <c r="A83" s="15"/>
      <c r="B83" s="15"/>
      <c r="C83" s="15"/>
      <c r="D83" s="15"/>
    </row>
    <row r="84" spans="1:4" ht="14.25" customHeight="1" x14ac:dyDescent="0.55000000000000004">
      <c r="A84" s="15"/>
      <c r="B84" s="15"/>
      <c r="C84" s="15"/>
      <c r="D84" s="15"/>
    </row>
    <row r="85" spans="1:4" ht="14.25" customHeight="1" x14ac:dyDescent="0.55000000000000004">
      <c r="A85" s="15"/>
      <c r="B85" s="15"/>
      <c r="C85" s="15"/>
      <c r="D85" s="15"/>
    </row>
    <row r="86" spans="1:4" ht="14.25" customHeight="1" x14ac:dyDescent="0.55000000000000004">
      <c r="A86" s="15"/>
      <c r="B86" s="15"/>
      <c r="C86" s="15"/>
      <c r="D86" s="15"/>
    </row>
    <row r="87" spans="1:4" ht="14.25" customHeight="1" x14ac:dyDescent="0.55000000000000004">
      <c r="A87" s="15"/>
      <c r="B87" s="15"/>
      <c r="C87" s="15"/>
      <c r="D87" s="15"/>
    </row>
    <row r="88" spans="1:4" ht="14.25" customHeight="1" x14ac:dyDescent="0.55000000000000004">
      <c r="A88" s="15"/>
      <c r="B88" s="15"/>
      <c r="C88" s="15"/>
      <c r="D88" s="15"/>
    </row>
    <row r="89" spans="1:4" ht="14.25" customHeight="1" x14ac:dyDescent="0.55000000000000004">
      <c r="A89" s="15"/>
      <c r="B89" s="15"/>
      <c r="C89" s="15"/>
      <c r="D89" s="15"/>
    </row>
    <row r="90" spans="1:4" ht="14.25" customHeight="1" x14ac:dyDescent="0.55000000000000004">
      <c r="A90" s="15"/>
      <c r="B90" s="15"/>
      <c r="C90" s="15"/>
      <c r="D90" s="15"/>
    </row>
    <row r="91" spans="1:4" ht="14.25" customHeight="1" x14ac:dyDescent="0.55000000000000004">
      <c r="A91" s="15"/>
      <c r="B91" s="15"/>
      <c r="C91" s="15"/>
      <c r="D91" s="15"/>
    </row>
    <row r="92" spans="1:4" ht="14.25" customHeight="1" x14ac:dyDescent="0.55000000000000004">
      <c r="A92" s="15"/>
      <c r="B92" s="15"/>
      <c r="C92" s="15"/>
      <c r="D92" s="15"/>
    </row>
    <row r="93" spans="1:4" ht="14.25" customHeight="1" x14ac:dyDescent="0.55000000000000004">
      <c r="A93" s="15"/>
      <c r="B93" s="15"/>
      <c r="C93" s="15"/>
      <c r="D93" s="15"/>
    </row>
    <row r="94" spans="1:4" ht="14.25" customHeight="1" x14ac:dyDescent="0.55000000000000004">
      <c r="A94" s="15"/>
      <c r="B94" s="15"/>
      <c r="C94" s="15"/>
      <c r="D94" s="15"/>
    </row>
    <row r="95" spans="1:4" ht="14.25" customHeight="1" x14ac:dyDescent="0.55000000000000004">
      <c r="A95" s="15"/>
      <c r="B95" s="15"/>
      <c r="C95" s="15"/>
      <c r="D95" s="15"/>
    </row>
    <row r="96" spans="1:4" ht="14.25" customHeight="1" x14ac:dyDescent="0.55000000000000004">
      <c r="A96" s="15"/>
      <c r="B96" s="15"/>
      <c r="C96" s="15"/>
      <c r="D96" s="15"/>
    </row>
    <row r="97" spans="1:4" ht="14.25" customHeight="1" x14ac:dyDescent="0.55000000000000004">
      <c r="A97" s="15"/>
      <c r="B97" s="15"/>
      <c r="C97" s="15"/>
      <c r="D97" s="15"/>
    </row>
    <row r="98" spans="1:4" ht="14.25" customHeight="1" x14ac:dyDescent="0.55000000000000004">
      <c r="A98" s="15"/>
      <c r="B98" s="15"/>
      <c r="C98" s="15"/>
      <c r="D98" s="15"/>
    </row>
    <row r="99" spans="1:4" ht="14.25" customHeight="1" x14ac:dyDescent="0.55000000000000004">
      <c r="A99" s="15"/>
      <c r="B99" s="15"/>
      <c r="C99" s="15"/>
      <c r="D99" s="15"/>
    </row>
    <row r="100" spans="1:4" ht="14.25" customHeight="1" x14ac:dyDescent="0.55000000000000004">
      <c r="A100" s="15"/>
      <c r="B100" s="15"/>
      <c r="C100" s="15"/>
      <c r="D100" s="15"/>
    </row>
    <row r="101" spans="1:4" ht="14.25" customHeight="1" x14ac:dyDescent="0.55000000000000004">
      <c r="A101" s="15"/>
      <c r="B101" s="15"/>
      <c r="C101" s="15"/>
      <c r="D101" s="15"/>
    </row>
    <row r="102" spans="1:4" ht="14.25" customHeight="1" x14ac:dyDescent="0.55000000000000004">
      <c r="A102" s="15"/>
      <c r="B102" s="15"/>
      <c r="C102" s="15"/>
      <c r="D102" s="15"/>
    </row>
    <row r="103" spans="1:4" ht="14.25" customHeight="1" x14ac:dyDescent="0.55000000000000004">
      <c r="A103" s="15"/>
      <c r="B103" s="15"/>
      <c r="C103" s="15"/>
      <c r="D103" s="15"/>
    </row>
    <row r="104" spans="1:4" ht="14.25" customHeight="1" x14ac:dyDescent="0.55000000000000004">
      <c r="A104" s="15"/>
      <c r="B104" s="15"/>
      <c r="C104" s="15"/>
      <c r="D104" s="15"/>
    </row>
    <row r="105" spans="1:4" ht="14.25" customHeight="1" x14ac:dyDescent="0.55000000000000004">
      <c r="A105" s="15"/>
      <c r="B105" s="15"/>
      <c r="C105" s="15"/>
      <c r="D105" s="15"/>
    </row>
    <row r="106" spans="1:4" ht="14.25" customHeight="1" x14ac:dyDescent="0.55000000000000004">
      <c r="A106" s="15"/>
      <c r="B106" s="15"/>
      <c r="C106" s="15"/>
      <c r="D106" s="15"/>
    </row>
    <row r="107" spans="1:4" ht="14.25" customHeight="1" x14ac:dyDescent="0.55000000000000004">
      <c r="A107" s="15"/>
      <c r="B107" s="15"/>
      <c r="C107" s="15"/>
      <c r="D107" s="15"/>
    </row>
    <row r="108" spans="1:4" ht="14.25" customHeight="1" x14ac:dyDescent="0.55000000000000004">
      <c r="A108" s="15"/>
      <c r="B108" s="15"/>
      <c r="C108" s="15"/>
      <c r="D108" s="15"/>
    </row>
    <row r="109" spans="1:4" ht="14.25" customHeight="1" x14ac:dyDescent="0.55000000000000004">
      <c r="A109" s="15"/>
      <c r="B109" s="15"/>
      <c r="C109" s="15"/>
      <c r="D109" s="15"/>
    </row>
    <row r="110" spans="1:4" ht="14.25" customHeight="1" x14ac:dyDescent="0.55000000000000004">
      <c r="A110" s="15"/>
      <c r="B110" s="15"/>
      <c r="C110" s="15"/>
      <c r="D110" s="15"/>
    </row>
    <row r="111" spans="1:4" ht="14.25" customHeight="1" x14ac:dyDescent="0.55000000000000004">
      <c r="A111" s="15"/>
      <c r="B111" s="15"/>
      <c r="C111" s="15"/>
      <c r="D111" s="15"/>
    </row>
    <row r="112" spans="1:4" ht="14.25" customHeight="1" x14ac:dyDescent="0.55000000000000004">
      <c r="A112" s="15"/>
      <c r="B112" s="15"/>
      <c r="C112" s="15"/>
      <c r="D112" s="15"/>
    </row>
    <row r="113" spans="1:4" ht="14.25" customHeight="1" x14ac:dyDescent="0.55000000000000004">
      <c r="A113" s="15"/>
      <c r="B113" s="15"/>
      <c r="C113" s="15"/>
      <c r="D113" s="15"/>
    </row>
    <row r="114" spans="1:4" ht="14.25" customHeight="1" x14ac:dyDescent="0.55000000000000004">
      <c r="A114" s="15"/>
      <c r="B114" s="15"/>
      <c r="C114" s="15"/>
      <c r="D114" s="15"/>
    </row>
    <row r="115" spans="1:4" ht="14.25" customHeight="1" x14ac:dyDescent="0.55000000000000004">
      <c r="A115" s="15"/>
      <c r="B115" s="15"/>
      <c r="C115" s="15"/>
      <c r="D115" s="15"/>
    </row>
    <row r="116" spans="1:4" ht="14.25" customHeight="1" x14ac:dyDescent="0.55000000000000004">
      <c r="A116" s="15"/>
      <c r="B116" s="15"/>
      <c r="C116" s="15"/>
      <c r="D116" s="15"/>
    </row>
    <row r="117" spans="1:4" ht="14.25" customHeight="1" x14ac:dyDescent="0.55000000000000004">
      <c r="A117" s="15"/>
      <c r="B117" s="15"/>
      <c r="C117" s="15"/>
      <c r="D117" s="15"/>
    </row>
    <row r="118" spans="1:4" ht="14.25" customHeight="1" x14ac:dyDescent="0.55000000000000004">
      <c r="A118" s="15"/>
      <c r="B118" s="15"/>
      <c r="C118" s="15"/>
      <c r="D118" s="15"/>
    </row>
    <row r="119" spans="1:4" ht="14.25" customHeight="1" x14ac:dyDescent="0.55000000000000004">
      <c r="A119" s="15"/>
      <c r="B119" s="15"/>
      <c r="C119" s="15"/>
      <c r="D119" s="15"/>
    </row>
    <row r="120" spans="1:4" ht="14.25" customHeight="1" x14ac:dyDescent="0.55000000000000004">
      <c r="A120" s="15"/>
      <c r="B120" s="15"/>
      <c r="C120" s="15"/>
      <c r="D120" s="15"/>
    </row>
    <row r="121" spans="1:4" ht="14.25" customHeight="1" x14ac:dyDescent="0.55000000000000004">
      <c r="A121" s="15"/>
      <c r="B121" s="15"/>
      <c r="C121" s="15"/>
      <c r="D121" s="15"/>
    </row>
    <row r="122" spans="1:4" ht="14.25" customHeight="1" x14ac:dyDescent="0.55000000000000004">
      <c r="A122" s="15"/>
      <c r="B122" s="15"/>
      <c r="C122" s="15"/>
      <c r="D122" s="15"/>
    </row>
    <row r="123" spans="1:4" ht="14.25" customHeight="1" x14ac:dyDescent="0.55000000000000004">
      <c r="A123" s="15"/>
      <c r="B123" s="15"/>
      <c r="C123" s="15"/>
      <c r="D123" s="15"/>
    </row>
    <row r="124" spans="1:4" ht="14.25" customHeight="1" x14ac:dyDescent="0.55000000000000004">
      <c r="A124" s="15"/>
      <c r="B124" s="15"/>
      <c r="C124" s="15"/>
      <c r="D124" s="15"/>
    </row>
    <row r="125" spans="1:4" ht="14.25" customHeight="1" x14ac:dyDescent="0.55000000000000004">
      <c r="A125" s="15"/>
      <c r="B125" s="15"/>
      <c r="C125" s="15"/>
      <c r="D125" s="15"/>
    </row>
    <row r="126" spans="1:4" ht="14.25" customHeight="1" x14ac:dyDescent="0.55000000000000004">
      <c r="A126" s="15"/>
      <c r="B126" s="15"/>
      <c r="C126" s="15"/>
      <c r="D126" s="15"/>
    </row>
    <row r="127" spans="1:4" ht="14.25" customHeight="1" x14ac:dyDescent="0.55000000000000004">
      <c r="A127" s="15"/>
      <c r="B127" s="15"/>
      <c r="C127" s="15"/>
      <c r="D127" s="15"/>
    </row>
    <row r="128" spans="1:4" ht="14.25" customHeight="1" x14ac:dyDescent="0.55000000000000004">
      <c r="A128" s="15"/>
      <c r="B128" s="15"/>
      <c r="C128" s="15"/>
      <c r="D128" s="15"/>
    </row>
    <row r="129" spans="1:4" ht="14.25" customHeight="1" x14ac:dyDescent="0.55000000000000004">
      <c r="A129" s="15"/>
      <c r="B129" s="15"/>
      <c r="C129" s="15"/>
      <c r="D129" s="15"/>
    </row>
    <row r="130" spans="1:4" ht="14.25" customHeight="1" x14ac:dyDescent="0.55000000000000004">
      <c r="A130" s="15"/>
      <c r="B130" s="15"/>
      <c r="C130" s="15"/>
      <c r="D130" s="15"/>
    </row>
    <row r="131" spans="1:4" ht="14.25" customHeight="1" x14ac:dyDescent="0.55000000000000004">
      <c r="A131" s="15"/>
      <c r="B131" s="15"/>
      <c r="C131" s="15"/>
      <c r="D131" s="15"/>
    </row>
    <row r="132" spans="1:4" ht="14.25" customHeight="1" x14ac:dyDescent="0.55000000000000004">
      <c r="A132" s="15"/>
      <c r="B132" s="15"/>
      <c r="C132" s="15"/>
      <c r="D132" s="15"/>
    </row>
    <row r="133" spans="1:4" ht="14.25" customHeight="1" x14ac:dyDescent="0.55000000000000004">
      <c r="A133" s="15"/>
      <c r="B133" s="15"/>
      <c r="C133" s="15"/>
      <c r="D133" s="15"/>
    </row>
    <row r="134" spans="1:4" ht="14.25" customHeight="1" x14ac:dyDescent="0.55000000000000004">
      <c r="A134" s="15"/>
      <c r="B134" s="15"/>
      <c r="C134" s="15"/>
      <c r="D134" s="15"/>
    </row>
    <row r="135" spans="1:4" ht="14.25" customHeight="1" x14ac:dyDescent="0.55000000000000004">
      <c r="A135" s="15"/>
      <c r="B135" s="15"/>
      <c r="C135" s="15"/>
      <c r="D135" s="15"/>
    </row>
    <row r="136" spans="1:4" ht="14.25" customHeight="1" x14ac:dyDescent="0.55000000000000004">
      <c r="A136" s="15"/>
      <c r="B136" s="15"/>
      <c r="C136" s="15"/>
      <c r="D136" s="15"/>
    </row>
    <row r="137" spans="1:4" ht="14.25" customHeight="1" x14ac:dyDescent="0.55000000000000004">
      <c r="A137" s="15"/>
      <c r="B137" s="15"/>
      <c r="C137" s="15"/>
      <c r="D137" s="15"/>
    </row>
    <row r="138" spans="1:4" ht="14.25" customHeight="1" x14ac:dyDescent="0.55000000000000004">
      <c r="A138" s="15"/>
      <c r="B138" s="15"/>
      <c r="C138" s="15"/>
      <c r="D138" s="15"/>
    </row>
    <row r="139" spans="1:4" ht="14.25" customHeight="1" x14ac:dyDescent="0.55000000000000004">
      <c r="A139" s="15"/>
      <c r="B139" s="15"/>
      <c r="C139" s="15"/>
      <c r="D139" s="15"/>
    </row>
    <row r="140" spans="1:4" ht="14.25" customHeight="1" x14ac:dyDescent="0.55000000000000004">
      <c r="A140" s="15"/>
      <c r="B140" s="15"/>
      <c r="C140" s="15"/>
      <c r="D140" s="15"/>
    </row>
    <row r="141" spans="1:4" ht="14.25" customHeight="1" x14ac:dyDescent="0.55000000000000004">
      <c r="A141" s="15"/>
      <c r="B141" s="15"/>
      <c r="C141" s="15"/>
      <c r="D141" s="15"/>
    </row>
    <row r="142" spans="1:4" ht="14.25" customHeight="1" x14ac:dyDescent="0.55000000000000004">
      <c r="A142" s="15"/>
      <c r="B142" s="15"/>
      <c r="C142" s="15"/>
      <c r="D142" s="15"/>
    </row>
    <row r="143" spans="1:4" ht="14.25" customHeight="1" x14ac:dyDescent="0.55000000000000004">
      <c r="A143" s="15"/>
      <c r="B143" s="15"/>
      <c r="C143" s="15"/>
      <c r="D143" s="15"/>
    </row>
    <row r="144" spans="1:4" ht="14.25" customHeight="1" x14ac:dyDescent="0.55000000000000004">
      <c r="A144" s="15"/>
      <c r="B144" s="15"/>
      <c r="C144" s="15"/>
      <c r="D144" s="15"/>
    </row>
    <row r="145" spans="1:4" ht="14.25" customHeight="1" x14ac:dyDescent="0.55000000000000004">
      <c r="A145" s="15"/>
      <c r="B145" s="15"/>
      <c r="C145" s="15"/>
      <c r="D145" s="15"/>
    </row>
    <row r="146" spans="1:4" ht="14.25" customHeight="1" x14ac:dyDescent="0.55000000000000004">
      <c r="A146" s="15"/>
      <c r="B146" s="15"/>
      <c r="C146" s="15"/>
      <c r="D146" s="15"/>
    </row>
    <row r="147" spans="1:4" ht="14.25" customHeight="1" x14ac:dyDescent="0.55000000000000004">
      <c r="A147" s="15"/>
      <c r="B147" s="15"/>
      <c r="C147" s="15"/>
      <c r="D147" s="15"/>
    </row>
    <row r="148" spans="1:4" ht="14.25" customHeight="1" x14ac:dyDescent="0.55000000000000004">
      <c r="A148" s="15"/>
      <c r="B148" s="15"/>
      <c r="C148" s="15"/>
      <c r="D148" s="15"/>
    </row>
    <row r="149" spans="1:4" ht="14.25" customHeight="1" x14ac:dyDescent="0.55000000000000004">
      <c r="A149" s="15"/>
      <c r="B149" s="15"/>
      <c r="C149" s="15"/>
      <c r="D149" s="15"/>
    </row>
    <row r="150" spans="1:4" ht="14.25" customHeight="1" x14ac:dyDescent="0.55000000000000004">
      <c r="A150" s="15"/>
      <c r="B150" s="15"/>
      <c r="C150" s="15"/>
      <c r="D150" s="15"/>
    </row>
    <row r="151" spans="1:4" ht="14.25" customHeight="1" x14ac:dyDescent="0.55000000000000004">
      <c r="A151" s="15"/>
      <c r="B151" s="15"/>
      <c r="C151" s="15"/>
      <c r="D151" s="15"/>
    </row>
    <row r="152" spans="1:4" ht="14.25" customHeight="1" x14ac:dyDescent="0.55000000000000004">
      <c r="A152" s="15"/>
      <c r="B152" s="15"/>
      <c r="C152" s="15"/>
      <c r="D152" s="15"/>
    </row>
    <row r="153" spans="1:4" ht="14.25" customHeight="1" x14ac:dyDescent="0.55000000000000004">
      <c r="A153" s="15"/>
      <c r="B153" s="15"/>
      <c r="C153" s="15"/>
      <c r="D153" s="15"/>
    </row>
    <row r="154" spans="1:4" ht="14.25" customHeight="1" x14ac:dyDescent="0.55000000000000004">
      <c r="A154" s="15"/>
      <c r="B154" s="15"/>
      <c r="C154" s="15"/>
      <c r="D154" s="15"/>
    </row>
    <row r="155" spans="1:4" ht="14.25" customHeight="1" x14ac:dyDescent="0.55000000000000004">
      <c r="A155" s="15"/>
      <c r="B155" s="15"/>
      <c r="C155" s="15"/>
      <c r="D155" s="15"/>
    </row>
    <row r="156" spans="1:4" ht="14.25" customHeight="1" x14ac:dyDescent="0.55000000000000004">
      <c r="A156" s="15"/>
      <c r="B156" s="15"/>
      <c r="C156" s="15"/>
      <c r="D156" s="15"/>
    </row>
    <row r="157" spans="1:4" ht="14.25" customHeight="1" x14ac:dyDescent="0.55000000000000004">
      <c r="A157" s="15"/>
      <c r="B157" s="15"/>
      <c r="C157" s="15"/>
      <c r="D157" s="15"/>
    </row>
    <row r="158" spans="1:4" ht="14.25" customHeight="1" x14ac:dyDescent="0.55000000000000004">
      <c r="A158" s="15"/>
      <c r="B158" s="15"/>
      <c r="C158" s="15"/>
      <c r="D158" s="15"/>
    </row>
    <row r="159" spans="1:4" ht="14.25" customHeight="1" x14ac:dyDescent="0.55000000000000004">
      <c r="A159" s="15"/>
      <c r="B159" s="15"/>
      <c r="C159" s="15"/>
      <c r="D159" s="15"/>
    </row>
    <row r="160" spans="1:4" ht="14.25" customHeight="1" x14ac:dyDescent="0.55000000000000004">
      <c r="A160" s="15"/>
      <c r="B160" s="15"/>
      <c r="C160" s="15"/>
      <c r="D160" s="15"/>
    </row>
    <row r="161" spans="1:4" ht="14.25" customHeight="1" x14ac:dyDescent="0.55000000000000004">
      <c r="A161" s="15"/>
      <c r="B161" s="15"/>
      <c r="C161" s="15"/>
      <c r="D161" s="15"/>
    </row>
    <row r="162" spans="1:4" ht="14.25" customHeight="1" x14ac:dyDescent="0.55000000000000004">
      <c r="A162" s="15"/>
      <c r="B162" s="15"/>
      <c r="C162" s="15"/>
      <c r="D162" s="15"/>
    </row>
    <row r="163" spans="1:4" ht="14.25" customHeight="1" x14ac:dyDescent="0.55000000000000004">
      <c r="A163" s="15"/>
      <c r="B163" s="15"/>
      <c r="C163" s="15"/>
      <c r="D163" s="15"/>
    </row>
    <row r="164" spans="1:4" ht="14.25" customHeight="1" x14ac:dyDescent="0.55000000000000004">
      <c r="A164" s="15"/>
      <c r="B164" s="15"/>
      <c r="C164" s="15"/>
      <c r="D164" s="15"/>
    </row>
    <row r="165" spans="1:4" ht="14.25" customHeight="1" x14ac:dyDescent="0.55000000000000004">
      <c r="A165" s="15"/>
      <c r="B165" s="15"/>
      <c r="C165" s="15"/>
      <c r="D165" s="15"/>
    </row>
    <row r="166" spans="1:4" ht="14.25" customHeight="1" x14ac:dyDescent="0.55000000000000004">
      <c r="A166" s="15"/>
      <c r="B166" s="15"/>
      <c r="C166" s="15"/>
      <c r="D166" s="15"/>
    </row>
    <row r="167" spans="1:4" ht="14.25" customHeight="1" x14ac:dyDescent="0.55000000000000004">
      <c r="A167" s="15"/>
      <c r="B167" s="15"/>
      <c r="C167" s="15"/>
      <c r="D167" s="15"/>
    </row>
    <row r="168" spans="1:4" ht="14.25" customHeight="1" x14ac:dyDescent="0.55000000000000004">
      <c r="A168" s="15"/>
      <c r="B168" s="15"/>
      <c r="C168" s="15"/>
      <c r="D168" s="15"/>
    </row>
    <row r="169" spans="1:4" ht="14.25" customHeight="1" x14ac:dyDescent="0.55000000000000004">
      <c r="A169" s="15"/>
      <c r="B169" s="15"/>
      <c r="C169" s="15"/>
      <c r="D169" s="15"/>
    </row>
    <row r="170" spans="1:4" ht="14.25" customHeight="1" x14ac:dyDescent="0.55000000000000004">
      <c r="A170" s="15"/>
      <c r="B170" s="15"/>
      <c r="C170" s="15"/>
      <c r="D170" s="15"/>
    </row>
    <row r="171" spans="1:4" ht="14.25" customHeight="1" x14ac:dyDescent="0.55000000000000004">
      <c r="A171" s="15"/>
      <c r="B171" s="15"/>
      <c r="C171" s="15"/>
      <c r="D171" s="15"/>
    </row>
    <row r="172" spans="1:4" ht="14.25" customHeight="1" x14ac:dyDescent="0.55000000000000004">
      <c r="A172" s="15"/>
      <c r="B172" s="15"/>
      <c r="C172" s="15"/>
      <c r="D172" s="15"/>
    </row>
    <row r="173" spans="1:4" ht="14.25" customHeight="1" x14ac:dyDescent="0.55000000000000004">
      <c r="A173" s="15"/>
      <c r="B173" s="15"/>
      <c r="C173" s="15"/>
      <c r="D173" s="15"/>
    </row>
    <row r="174" spans="1:4" ht="14.25" customHeight="1" x14ac:dyDescent="0.55000000000000004">
      <c r="A174" s="15"/>
      <c r="B174" s="15"/>
      <c r="C174" s="15"/>
      <c r="D174" s="15"/>
    </row>
    <row r="175" spans="1:4" ht="14.25" customHeight="1" x14ac:dyDescent="0.55000000000000004">
      <c r="A175" s="15"/>
      <c r="B175" s="15"/>
      <c r="C175" s="15"/>
      <c r="D175" s="15"/>
    </row>
    <row r="176" spans="1:4" ht="14.25" customHeight="1" x14ac:dyDescent="0.55000000000000004">
      <c r="A176" s="15"/>
      <c r="B176" s="15"/>
      <c r="C176" s="15"/>
      <c r="D176" s="15"/>
    </row>
    <row r="177" spans="1:4" ht="14.25" customHeight="1" x14ac:dyDescent="0.55000000000000004">
      <c r="A177" s="15"/>
      <c r="B177" s="15"/>
      <c r="C177" s="15"/>
      <c r="D177" s="15"/>
    </row>
    <row r="178" spans="1:4" ht="14.25" customHeight="1" x14ac:dyDescent="0.55000000000000004">
      <c r="A178" s="15"/>
      <c r="B178" s="15"/>
      <c r="C178" s="15"/>
      <c r="D178" s="15"/>
    </row>
    <row r="179" spans="1:4" ht="14.25" customHeight="1" x14ac:dyDescent="0.55000000000000004">
      <c r="A179" s="15"/>
      <c r="B179" s="15"/>
      <c r="C179" s="15"/>
      <c r="D179" s="15"/>
    </row>
    <row r="180" spans="1:4" ht="14.25" customHeight="1" x14ac:dyDescent="0.55000000000000004">
      <c r="A180" s="15"/>
      <c r="B180" s="15"/>
      <c r="C180" s="15"/>
      <c r="D180" s="15"/>
    </row>
    <row r="181" spans="1:4" ht="14.25" customHeight="1" x14ac:dyDescent="0.55000000000000004">
      <c r="A181" s="15"/>
      <c r="B181" s="15"/>
      <c r="C181" s="15"/>
      <c r="D181" s="15"/>
    </row>
    <row r="182" spans="1:4" ht="14.25" customHeight="1" x14ac:dyDescent="0.55000000000000004">
      <c r="A182" s="15"/>
      <c r="B182" s="15"/>
      <c r="C182" s="15"/>
      <c r="D182" s="15"/>
    </row>
    <row r="183" spans="1:4" ht="14.25" customHeight="1" x14ac:dyDescent="0.55000000000000004">
      <c r="A183" s="15"/>
      <c r="B183" s="15"/>
      <c r="C183" s="15"/>
      <c r="D183" s="15"/>
    </row>
    <row r="184" spans="1:4" ht="14.25" customHeight="1" x14ac:dyDescent="0.55000000000000004">
      <c r="A184" s="15"/>
      <c r="B184" s="15"/>
      <c r="C184" s="15"/>
      <c r="D184" s="15"/>
    </row>
    <row r="185" spans="1:4" ht="14.25" customHeight="1" x14ac:dyDescent="0.55000000000000004">
      <c r="A185" s="15"/>
      <c r="B185" s="15"/>
      <c r="C185" s="15"/>
      <c r="D185" s="15"/>
    </row>
    <row r="186" spans="1:4" ht="14.25" customHeight="1" x14ac:dyDescent="0.55000000000000004">
      <c r="A186" s="15"/>
      <c r="B186" s="15"/>
      <c r="C186" s="15"/>
      <c r="D186" s="15"/>
    </row>
    <row r="187" spans="1:4" ht="14.25" customHeight="1" x14ac:dyDescent="0.55000000000000004">
      <c r="A187" s="15"/>
      <c r="B187" s="15"/>
      <c r="C187" s="15"/>
      <c r="D187" s="15"/>
    </row>
    <row r="188" spans="1:4" ht="14.25" customHeight="1" x14ac:dyDescent="0.55000000000000004">
      <c r="A188" s="15"/>
      <c r="B188" s="15"/>
      <c r="C188" s="15"/>
      <c r="D188" s="15"/>
    </row>
    <row r="189" spans="1:4" ht="14.25" customHeight="1" x14ac:dyDescent="0.55000000000000004">
      <c r="A189" s="15"/>
      <c r="B189" s="15"/>
      <c r="C189" s="15"/>
      <c r="D189" s="15"/>
    </row>
    <row r="190" spans="1:4" ht="14.25" customHeight="1" x14ac:dyDescent="0.55000000000000004">
      <c r="A190" s="15"/>
      <c r="B190" s="15"/>
      <c r="C190" s="15"/>
      <c r="D190" s="15"/>
    </row>
    <row r="191" spans="1:4" ht="14.25" customHeight="1" x14ac:dyDescent="0.55000000000000004">
      <c r="A191" s="15"/>
      <c r="B191" s="15"/>
      <c r="C191" s="15"/>
      <c r="D191" s="15"/>
    </row>
    <row r="192" spans="1:4" ht="14.25" customHeight="1" x14ac:dyDescent="0.55000000000000004">
      <c r="A192" s="15"/>
      <c r="B192" s="15"/>
      <c r="C192" s="15"/>
      <c r="D192" s="15"/>
    </row>
    <row r="193" spans="1:4" ht="14.25" customHeight="1" x14ac:dyDescent="0.55000000000000004">
      <c r="A193" s="15"/>
      <c r="B193" s="15"/>
      <c r="C193" s="15"/>
      <c r="D193" s="15"/>
    </row>
    <row r="194" spans="1:4" ht="14.25" customHeight="1" x14ac:dyDescent="0.55000000000000004">
      <c r="A194" s="15"/>
      <c r="B194" s="15"/>
      <c r="C194" s="15"/>
      <c r="D194" s="15"/>
    </row>
    <row r="195" spans="1:4" ht="14.25" customHeight="1" x14ac:dyDescent="0.55000000000000004">
      <c r="A195" s="15"/>
      <c r="B195" s="15"/>
      <c r="C195" s="15"/>
      <c r="D195" s="15"/>
    </row>
    <row r="196" spans="1:4" ht="14.25" customHeight="1" x14ac:dyDescent="0.55000000000000004">
      <c r="A196" s="15"/>
      <c r="B196" s="15"/>
      <c r="C196" s="15"/>
      <c r="D196" s="15"/>
    </row>
    <row r="197" spans="1:4" ht="14.25" customHeight="1" x14ac:dyDescent="0.55000000000000004">
      <c r="A197" s="15"/>
      <c r="B197" s="15"/>
      <c r="C197" s="15"/>
      <c r="D197" s="15"/>
    </row>
    <row r="198" spans="1:4" ht="14.25" customHeight="1" x14ac:dyDescent="0.55000000000000004">
      <c r="A198" s="15"/>
      <c r="B198" s="15"/>
      <c r="C198" s="15"/>
      <c r="D198" s="15"/>
    </row>
    <row r="199" spans="1:4" ht="14.25" customHeight="1" x14ac:dyDescent="0.55000000000000004">
      <c r="A199" s="15"/>
      <c r="B199" s="15"/>
      <c r="C199" s="15"/>
      <c r="D199" s="15"/>
    </row>
    <row r="200" spans="1:4" ht="14.25" customHeight="1" x14ac:dyDescent="0.55000000000000004">
      <c r="A200" s="15"/>
      <c r="B200" s="15"/>
      <c r="C200" s="15"/>
      <c r="D200" s="15"/>
    </row>
    <row r="201" spans="1:4" ht="14.25" customHeight="1" x14ac:dyDescent="0.55000000000000004">
      <c r="A201" s="15"/>
      <c r="B201" s="15"/>
      <c r="C201" s="15"/>
      <c r="D201" s="15"/>
    </row>
    <row r="202" spans="1:4" ht="14.25" customHeight="1" x14ac:dyDescent="0.55000000000000004">
      <c r="A202" s="15"/>
      <c r="B202" s="15"/>
      <c r="C202" s="15"/>
      <c r="D202" s="15"/>
    </row>
    <row r="203" spans="1:4" ht="14.25" customHeight="1" x14ac:dyDescent="0.55000000000000004">
      <c r="A203" s="15"/>
      <c r="B203" s="15"/>
      <c r="C203" s="15"/>
      <c r="D203" s="15"/>
    </row>
    <row r="204" spans="1:4" ht="14.25" customHeight="1" x14ac:dyDescent="0.55000000000000004">
      <c r="A204" s="15"/>
      <c r="B204" s="15"/>
      <c r="C204" s="15"/>
      <c r="D204" s="15"/>
    </row>
    <row r="205" spans="1:4" ht="14.25" customHeight="1" x14ac:dyDescent="0.55000000000000004">
      <c r="A205" s="15"/>
      <c r="B205" s="15"/>
      <c r="C205" s="15"/>
      <c r="D205" s="15"/>
    </row>
    <row r="206" spans="1:4" ht="14.25" customHeight="1" x14ac:dyDescent="0.55000000000000004">
      <c r="A206" s="15"/>
      <c r="B206" s="15"/>
      <c r="C206" s="15"/>
      <c r="D206" s="15"/>
    </row>
    <row r="207" spans="1:4" ht="14.25" customHeight="1" x14ac:dyDescent="0.55000000000000004">
      <c r="A207" s="15"/>
      <c r="B207" s="15"/>
      <c r="C207" s="15"/>
      <c r="D207" s="15"/>
    </row>
    <row r="208" spans="1:4" ht="14.25" customHeight="1" x14ac:dyDescent="0.55000000000000004">
      <c r="A208" s="15"/>
      <c r="B208" s="15"/>
      <c r="C208" s="15"/>
      <c r="D208" s="15"/>
    </row>
    <row r="209" spans="1:4" ht="14.25" customHeight="1" x14ac:dyDescent="0.55000000000000004">
      <c r="A209" s="15"/>
      <c r="B209" s="15"/>
      <c r="C209" s="15"/>
      <c r="D209" s="15"/>
    </row>
    <row r="210" spans="1:4" ht="14.25" customHeight="1" x14ac:dyDescent="0.55000000000000004">
      <c r="A210" s="15"/>
      <c r="B210" s="15"/>
      <c r="C210" s="15"/>
      <c r="D210" s="15"/>
    </row>
    <row r="211" spans="1:4" ht="15.75" customHeight="1" x14ac:dyDescent="0.55000000000000004"/>
    <row r="212" spans="1:4" ht="15.75" customHeight="1" x14ac:dyDescent="0.55000000000000004"/>
    <row r="213" spans="1:4" ht="15.75" customHeight="1" x14ac:dyDescent="0.55000000000000004"/>
    <row r="214" spans="1:4" ht="15.75" customHeight="1" x14ac:dyDescent="0.55000000000000004"/>
    <row r="215" spans="1:4" ht="15.75" customHeight="1" x14ac:dyDescent="0.55000000000000004"/>
    <row r="216" spans="1:4" ht="15.75" customHeight="1" x14ac:dyDescent="0.55000000000000004"/>
    <row r="217" spans="1:4" ht="15.75" customHeight="1" x14ac:dyDescent="0.55000000000000004"/>
    <row r="218" spans="1:4" ht="15.75" customHeight="1" x14ac:dyDescent="0.55000000000000004"/>
    <row r="219" spans="1:4" ht="15.75" customHeight="1" x14ac:dyDescent="0.55000000000000004"/>
    <row r="220" spans="1:4" ht="15.75" customHeight="1" x14ac:dyDescent="0.55000000000000004"/>
    <row r="221" spans="1:4" ht="15.75" customHeight="1" x14ac:dyDescent="0.55000000000000004"/>
    <row r="222" spans="1:4" ht="15.75" customHeight="1" x14ac:dyDescent="0.55000000000000004"/>
    <row r="223" spans="1:4" ht="15.75" customHeight="1" x14ac:dyDescent="0.55000000000000004"/>
    <row r="224" spans="1:4" ht="15.75" customHeight="1" x14ac:dyDescent="0.55000000000000004"/>
    <row r="225" ht="15.75" customHeight="1" x14ac:dyDescent="0.55000000000000004"/>
    <row r="226" ht="15.75" customHeight="1" x14ac:dyDescent="0.55000000000000004"/>
    <row r="227" ht="15.75" customHeight="1" x14ac:dyDescent="0.55000000000000004"/>
    <row r="228" ht="15.75" customHeight="1" x14ac:dyDescent="0.55000000000000004"/>
    <row r="229" ht="15.75" customHeight="1" x14ac:dyDescent="0.55000000000000004"/>
    <row r="230" ht="15.75" customHeight="1" x14ac:dyDescent="0.55000000000000004"/>
    <row r="231" ht="15.75" customHeight="1" x14ac:dyDescent="0.55000000000000004"/>
    <row r="232" ht="15.75" customHeight="1" x14ac:dyDescent="0.55000000000000004"/>
    <row r="233" ht="15.75" customHeight="1" x14ac:dyDescent="0.55000000000000004"/>
    <row r="234" ht="15.75" customHeight="1" x14ac:dyDescent="0.55000000000000004"/>
    <row r="235" ht="15.75" customHeight="1" x14ac:dyDescent="0.55000000000000004"/>
    <row r="236" ht="15.75" customHeight="1" x14ac:dyDescent="0.55000000000000004"/>
    <row r="237" ht="15.75" customHeight="1" x14ac:dyDescent="0.55000000000000004"/>
    <row r="238" ht="15.75" customHeight="1" x14ac:dyDescent="0.55000000000000004"/>
    <row r="239" ht="15.75" customHeight="1" x14ac:dyDescent="0.55000000000000004"/>
    <row r="240" ht="15.75" customHeight="1" x14ac:dyDescent="0.55000000000000004"/>
    <row r="241" ht="15.75" customHeight="1" x14ac:dyDescent="0.55000000000000004"/>
    <row r="242" ht="15.75" customHeight="1" x14ac:dyDescent="0.55000000000000004"/>
    <row r="243" ht="15.75" customHeight="1" x14ac:dyDescent="0.55000000000000004"/>
    <row r="244" ht="15.75" customHeight="1" x14ac:dyDescent="0.55000000000000004"/>
    <row r="245" ht="15.75" customHeight="1" x14ac:dyDescent="0.55000000000000004"/>
    <row r="246" ht="15.75" customHeight="1" x14ac:dyDescent="0.55000000000000004"/>
    <row r="247" ht="15.75" customHeight="1" x14ac:dyDescent="0.55000000000000004"/>
    <row r="248" ht="15.75" customHeight="1" x14ac:dyDescent="0.55000000000000004"/>
    <row r="249" ht="15.75" customHeight="1" x14ac:dyDescent="0.55000000000000004"/>
    <row r="250" ht="15.75" customHeight="1" x14ac:dyDescent="0.55000000000000004"/>
    <row r="251" ht="15.75" customHeight="1" x14ac:dyDescent="0.55000000000000004"/>
    <row r="252" ht="15.75" customHeight="1" x14ac:dyDescent="0.55000000000000004"/>
    <row r="253" ht="15.75" customHeight="1" x14ac:dyDescent="0.55000000000000004"/>
    <row r="254" ht="15.75" customHeight="1" x14ac:dyDescent="0.55000000000000004"/>
    <row r="255" ht="15.75" customHeight="1" x14ac:dyDescent="0.55000000000000004"/>
    <row r="256" ht="15.75" customHeight="1" x14ac:dyDescent="0.55000000000000004"/>
    <row r="257" ht="15.75" customHeight="1" x14ac:dyDescent="0.55000000000000004"/>
    <row r="258" ht="15.75" customHeight="1" x14ac:dyDescent="0.55000000000000004"/>
    <row r="259" ht="15.75" customHeight="1" x14ac:dyDescent="0.55000000000000004"/>
    <row r="260" ht="15.75" customHeight="1" x14ac:dyDescent="0.55000000000000004"/>
    <row r="261" ht="15.75" customHeight="1" x14ac:dyDescent="0.55000000000000004"/>
    <row r="262" ht="15.75" customHeight="1" x14ac:dyDescent="0.55000000000000004"/>
    <row r="263" ht="15.75" customHeight="1" x14ac:dyDescent="0.55000000000000004"/>
    <row r="264" ht="15.75" customHeight="1" x14ac:dyDescent="0.55000000000000004"/>
    <row r="265" ht="15.75" customHeight="1" x14ac:dyDescent="0.55000000000000004"/>
    <row r="266" ht="15.75" customHeight="1" x14ac:dyDescent="0.55000000000000004"/>
    <row r="267" ht="15.75" customHeight="1" x14ac:dyDescent="0.55000000000000004"/>
    <row r="268" ht="15.75" customHeight="1" x14ac:dyDescent="0.55000000000000004"/>
    <row r="269" ht="15.75" customHeight="1" x14ac:dyDescent="0.55000000000000004"/>
    <row r="270" ht="15.75" customHeight="1" x14ac:dyDescent="0.55000000000000004"/>
    <row r="271" ht="15.75" customHeight="1" x14ac:dyDescent="0.55000000000000004"/>
    <row r="272" ht="15.75" customHeight="1" x14ac:dyDescent="0.55000000000000004"/>
    <row r="273" ht="15.75" customHeight="1" x14ac:dyDescent="0.55000000000000004"/>
    <row r="274" ht="15.75" customHeight="1" x14ac:dyDescent="0.55000000000000004"/>
    <row r="275" ht="15.75" customHeight="1" x14ac:dyDescent="0.55000000000000004"/>
    <row r="276" ht="15.75" customHeight="1" x14ac:dyDescent="0.55000000000000004"/>
    <row r="277" ht="15.75" customHeight="1" x14ac:dyDescent="0.55000000000000004"/>
    <row r="278" ht="15.75" customHeight="1" x14ac:dyDescent="0.55000000000000004"/>
    <row r="279" ht="15.75" customHeight="1" x14ac:dyDescent="0.55000000000000004"/>
    <row r="280" ht="15.75" customHeight="1" x14ac:dyDescent="0.55000000000000004"/>
    <row r="281" ht="15.75" customHeight="1" x14ac:dyDescent="0.55000000000000004"/>
    <row r="282" ht="15.75" customHeight="1" x14ac:dyDescent="0.55000000000000004"/>
    <row r="283" ht="15.75" customHeight="1" x14ac:dyDescent="0.55000000000000004"/>
    <row r="284" ht="15.75" customHeight="1" x14ac:dyDescent="0.55000000000000004"/>
    <row r="285" ht="15.75" customHeight="1" x14ac:dyDescent="0.55000000000000004"/>
    <row r="286" ht="15.75" customHeight="1" x14ac:dyDescent="0.55000000000000004"/>
    <row r="287" ht="15.75" customHeight="1" x14ac:dyDescent="0.55000000000000004"/>
    <row r="288" ht="15.75" customHeight="1" x14ac:dyDescent="0.55000000000000004"/>
    <row r="289" ht="15.75" customHeight="1" x14ac:dyDescent="0.55000000000000004"/>
    <row r="290" ht="15.75" customHeight="1" x14ac:dyDescent="0.55000000000000004"/>
    <row r="291" ht="15.75" customHeight="1" x14ac:dyDescent="0.55000000000000004"/>
    <row r="292" ht="15.75" customHeight="1" x14ac:dyDescent="0.55000000000000004"/>
    <row r="293" ht="15.75" customHeight="1" x14ac:dyDescent="0.55000000000000004"/>
    <row r="294" ht="15.75" customHeight="1" x14ac:dyDescent="0.55000000000000004"/>
    <row r="295" ht="15.75" customHeight="1" x14ac:dyDescent="0.55000000000000004"/>
    <row r="296" ht="15.75" customHeight="1" x14ac:dyDescent="0.55000000000000004"/>
    <row r="297" ht="15.75" customHeight="1" x14ac:dyDescent="0.55000000000000004"/>
    <row r="298" ht="15.75" customHeight="1" x14ac:dyDescent="0.55000000000000004"/>
    <row r="299" ht="15.75" customHeight="1" x14ac:dyDescent="0.55000000000000004"/>
    <row r="300" ht="15.75" customHeight="1" x14ac:dyDescent="0.55000000000000004"/>
    <row r="301" ht="15.75" customHeight="1" x14ac:dyDescent="0.55000000000000004"/>
    <row r="302" ht="15.75" customHeight="1" x14ac:dyDescent="0.55000000000000004"/>
    <row r="303" ht="15.75" customHeight="1" x14ac:dyDescent="0.55000000000000004"/>
    <row r="304" ht="15.75" customHeight="1" x14ac:dyDescent="0.55000000000000004"/>
    <row r="305" ht="15.75" customHeight="1" x14ac:dyDescent="0.55000000000000004"/>
    <row r="306" ht="15.75" customHeight="1" x14ac:dyDescent="0.55000000000000004"/>
    <row r="307" ht="15.75" customHeight="1" x14ac:dyDescent="0.55000000000000004"/>
    <row r="308" ht="15.75" customHeight="1" x14ac:dyDescent="0.55000000000000004"/>
    <row r="309" ht="15.75" customHeight="1" x14ac:dyDescent="0.55000000000000004"/>
    <row r="310" ht="15.75" customHeight="1" x14ac:dyDescent="0.55000000000000004"/>
    <row r="311" ht="15.75" customHeight="1" x14ac:dyDescent="0.55000000000000004"/>
    <row r="312" ht="15.75" customHeight="1" x14ac:dyDescent="0.55000000000000004"/>
    <row r="313" ht="15.75" customHeight="1" x14ac:dyDescent="0.55000000000000004"/>
    <row r="314" ht="15.75" customHeight="1" x14ac:dyDescent="0.55000000000000004"/>
    <row r="315" ht="15.75" customHeight="1" x14ac:dyDescent="0.55000000000000004"/>
    <row r="316" ht="15.75" customHeight="1" x14ac:dyDescent="0.55000000000000004"/>
    <row r="317" ht="15.75" customHeight="1" x14ac:dyDescent="0.55000000000000004"/>
    <row r="318" ht="15.75" customHeight="1" x14ac:dyDescent="0.55000000000000004"/>
    <row r="319" ht="15.75" customHeight="1" x14ac:dyDescent="0.55000000000000004"/>
    <row r="320" ht="15.75" customHeight="1" x14ac:dyDescent="0.55000000000000004"/>
    <row r="321" ht="15.75" customHeight="1" x14ac:dyDescent="0.55000000000000004"/>
    <row r="322" ht="15.75" customHeight="1" x14ac:dyDescent="0.55000000000000004"/>
    <row r="323" ht="15.75" customHeight="1" x14ac:dyDescent="0.55000000000000004"/>
    <row r="324" ht="15.75" customHeight="1" x14ac:dyDescent="0.55000000000000004"/>
    <row r="325" ht="15.75" customHeight="1" x14ac:dyDescent="0.55000000000000004"/>
    <row r="326" ht="15.75" customHeight="1" x14ac:dyDescent="0.55000000000000004"/>
    <row r="327" ht="15.75" customHeight="1" x14ac:dyDescent="0.55000000000000004"/>
    <row r="328" ht="15.75" customHeight="1" x14ac:dyDescent="0.55000000000000004"/>
    <row r="329" ht="15.75" customHeight="1" x14ac:dyDescent="0.55000000000000004"/>
    <row r="330" ht="15.75" customHeight="1" x14ac:dyDescent="0.55000000000000004"/>
    <row r="331" ht="15.75" customHeight="1" x14ac:dyDescent="0.55000000000000004"/>
    <row r="332" ht="15.75" customHeight="1" x14ac:dyDescent="0.55000000000000004"/>
    <row r="333" ht="15.75" customHeight="1" x14ac:dyDescent="0.55000000000000004"/>
    <row r="334" ht="15.75" customHeight="1" x14ac:dyDescent="0.55000000000000004"/>
    <row r="335" ht="15.75" customHeight="1" x14ac:dyDescent="0.55000000000000004"/>
    <row r="336" ht="15.75" customHeight="1" x14ac:dyDescent="0.55000000000000004"/>
    <row r="337" ht="15.75" customHeight="1" x14ac:dyDescent="0.55000000000000004"/>
    <row r="338" ht="15.75" customHeight="1" x14ac:dyDescent="0.55000000000000004"/>
    <row r="339" ht="15.75" customHeight="1" x14ac:dyDescent="0.55000000000000004"/>
    <row r="340" ht="15.75" customHeight="1" x14ac:dyDescent="0.55000000000000004"/>
    <row r="341" ht="15.75" customHeight="1" x14ac:dyDescent="0.55000000000000004"/>
    <row r="342" ht="15.75" customHeight="1" x14ac:dyDescent="0.55000000000000004"/>
    <row r="343" ht="15.75" customHeight="1" x14ac:dyDescent="0.55000000000000004"/>
    <row r="344" ht="15.75" customHeight="1" x14ac:dyDescent="0.55000000000000004"/>
    <row r="345" ht="15.75" customHeight="1" x14ac:dyDescent="0.55000000000000004"/>
    <row r="346" ht="15.75" customHeight="1" x14ac:dyDescent="0.55000000000000004"/>
    <row r="347" ht="15.75" customHeight="1" x14ac:dyDescent="0.55000000000000004"/>
    <row r="348" ht="15.75" customHeight="1" x14ac:dyDescent="0.55000000000000004"/>
    <row r="349" ht="15.75" customHeight="1" x14ac:dyDescent="0.55000000000000004"/>
    <row r="350" ht="15.75" customHeight="1" x14ac:dyDescent="0.55000000000000004"/>
    <row r="351" ht="15.75" customHeight="1" x14ac:dyDescent="0.55000000000000004"/>
    <row r="352" ht="15.75" customHeight="1" x14ac:dyDescent="0.55000000000000004"/>
    <row r="353" ht="15.75" customHeight="1" x14ac:dyDescent="0.55000000000000004"/>
    <row r="354" ht="15.75" customHeight="1" x14ac:dyDescent="0.55000000000000004"/>
    <row r="355" ht="15.75" customHeight="1" x14ac:dyDescent="0.55000000000000004"/>
    <row r="356" ht="15.75" customHeight="1" x14ac:dyDescent="0.55000000000000004"/>
    <row r="357" ht="15.75" customHeight="1" x14ac:dyDescent="0.55000000000000004"/>
    <row r="358" ht="15.75" customHeight="1" x14ac:dyDescent="0.55000000000000004"/>
    <row r="359" ht="15.75" customHeight="1" x14ac:dyDescent="0.55000000000000004"/>
    <row r="360" ht="15.75" customHeight="1" x14ac:dyDescent="0.55000000000000004"/>
    <row r="361" ht="15.75" customHeight="1" x14ac:dyDescent="0.55000000000000004"/>
    <row r="362" ht="15.75" customHeight="1" x14ac:dyDescent="0.55000000000000004"/>
    <row r="363" ht="15.75" customHeight="1" x14ac:dyDescent="0.55000000000000004"/>
    <row r="364" ht="15.75" customHeight="1" x14ac:dyDescent="0.55000000000000004"/>
    <row r="365" ht="15.75" customHeight="1" x14ac:dyDescent="0.55000000000000004"/>
    <row r="366" ht="15.75" customHeight="1" x14ac:dyDescent="0.55000000000000004"/>
    <row r="367" ht="15.75" customHeight="1" x14ac:dyDescent="0.55000000000000004"/>
    <row r="368" ht="15.75" customHeight="1" x14ac:dyDescent="0.55000000000000004"/>
    <row r="369" ht="15.75" customHeight="1" x14ac:dyDescent="0.55000000000000004"/>
    <row r="370" ht="15.75" customHeight="1" x14ac:dyDescent="0.55000000000000004"/>
    <row r="371" ht="15.75" customHeight="1" x14ac:dyDescent="0.55000000000000004"/>
    <row r="372" ht="15.75" customHeight="1" x14ac:dyDescent="0.55000000000000004"/>
    <row r="373" ht="15.75" customHeight="1" x14ac:dyDescent="0.55000000000000004"/>
    <row r="374" ht="15.75" customHeight="1" x14ac:dyDescent="0.55000000000000004"/>
    <row r="375" ht="15.75" customHeight="1" x14ac:dyDescent="0.55000000000000004"/>
    <row r="376" ht="15.75" customHeight="1" x14ac:dyDescent="0.55000000000000004"/>
    <row r="377" ht="15.75" customHeight="1" x14ac:dyDescent="0.55000000000000004"/>
    <row r="378" ht="15.75" customHeight="1" x14ac:dyDescent="0.55000000000000004"/>
    <row r="379" ht="15.75" customHeight="1" x14ac:dyDescent="0.55000000000000004"/>
    <row r="380" ht="15.75" customHeight="1" x14ac:dyDescent="0.55000000000000004"/>
    <row r="381" ht="15.75" customHeight="1" x14ac:dyDescent="0.55000000000000004"/>
    <row r="382" ht="15.75" customHeight="1" x14ac:dyDescent="0.55000000000000004"/>
    <row r="383" ht="15.75" customHeight="1" x14ac:dyDescent="0.55000000000000004"/>
    <row r="384" ht="15.75" customHeight="1" x14ac:dyDescent="0.55000000000000004"/>
    <row r="385" ht="15.75" customHeight="1" x14ac:dyDescent="0.55000000000000004"/>
    <row r="386" ht="15.75" customHeight="1" x14ac:dyDescent="0.55000000000000004"/>
    <row r="387" ht="15.75" customHeight="1" x14ac:dyDescent="0.55000000000000004"/>
    <row r="388" ht="15.75" customHeight="1" x14ac:dyDescent="0.55000000000000004"/>
    <row r="389" ht="15.75" customHeight="1" x14ac:dyDescent="0.55000000000000004"/>
    <row r="390" ht="15.75" customHeight="1" x14ac:dyDescent="0.55000000000000004"/>
    <row r="391" ht="15.75" customHeight="1" x14ac:dyDescent="0.55000000000000004"/>
    <row r="392" ht="15.75" customHeight="1" x14ac:dyDescent="0.55000000000000004"/>
    <row r="393" ht="15.75" customHeight="1" x14ac:dyDescent="0.55000000000000004"/>
    <row r="394" ht="15.75" customHeight="1" x14ac:dyDescent="0.55000000000000004"/>
    <row r="395" ht="15.75" customHeight="1" x14ac:dyDescent="0.55000000000000004"/>
    <row r="396" ht="15.75" customHeight="1" x14ac:dyDescent="0.55000000000000004"/>
    <row r="397" ht="15.75" customHeight="1" x14ac:dyDescent="0.55000000000000004"/>
    <row r="398" ht="15.75" customHeight="1" x14ac:dyDescent="0.55000000000000004"/>
    <row r="399" ht="15.75" customHeight="1" x14ac:dyDescent="0.55000000000000004"/>
    <row r="400" ht="15.75" customHeight="1" x14ac:dyDescent="0.55000000000000004"/>
    <row r="401" ht="15.75" customHeight="1" x14ac:dyDescent="0.55000000000000004"/>
    <row r="402" ht="15.75" customHeight="1" x14ac:dyDescent="0.55000000000000004"/>
    <row r="403" ht="15.75" customHeight="1" x14ac:dyDescent="0.55000000000000004"/>
    <row r="404" ht="15.75" customHeight="1" x14ac:dyDescent="0.55000000000000004"/>
    <row r="405" ht="15.75" customHeight="1" x14ac:dyDescent="0.55000000000000004"/>
    <row r="406" ht="15.75" customHeight="1" x14ac:dyDescent="0.55000000000000004"/>
    <row r="407" ht="15.75" customHeight="1" x14ac:dyDescent="0.55000000000000004"/>
    <row r="408" ht="15.75" customHeight="1" x14ac:dyDescent="0.55000000000000004"/>
    <row r="409" ht="15.75" customHeight="1" x14ac:dyDescent="0.55000000000000004"/>
    <row r="410" ht="15.75" customHeight="1" x14ac:dyDescent="0.55000000000000004"/>
    <row r="411" ht="15.75" customHeight="1" x14ac:dyDescent="0.55000000000000004"/>
    <row r="412" ht="15.75" customHeight="1" x14ac:dyDescent="0.55000000000000004"/>
    <row r="413" ht="15.75" customHeight="1" x14ac:dyDescent="0.55000000000000004"/>
    <row r="414" ht="15.75" customHeight="1" x14ac:dyDescent="0.55000000000000004"/>
    <row r="415" ht="15.75" customHeight="1" x14ac:dyDescent="0.55000000000000004"/>
    <row r="416" ht="15.75" customHeight="1" x14ac:dyDescent="0.55000000000000004"/>
    <row r="417" ht="15.75" customHeight="1" x14ac:dyDescent="0.55000000000000004"/>
    <row r="418" ht="15.75" customHeight="1" x14ac:dyDescent="0.55000000000000004"/>
    <row r="419" ht="15.75" customHeight="1" x14ac:dyDescent="0.55000000000000004"/>
    <row r="420" ht="15.75" customHeight="1" x14ac:dyDescent="0.55000000000000004"/>
    <row r="421" ht="15.75" customHeight="1" x14ac:dyDescent="0.55000000000000004"/>
    <row r="422" ht="15.75" customHeight="1" x14ac:dyDescent="0.55000000000000004"/>
    <row r="423" ht="15.75" customHeight="1" x14ac:dyDescent="0.55000000000000004"/>
    <row r="424" ht="15.75" customHeight="1" x14ac:dyDescent="0.55000000000000004"/>
    <row r="425" ht="15.75" customHeight="1" x14ac:dyDescent="0.55000000000000004"/>
    <row r="426" ht="15.75" customHeight="1" x14ac:dyDescent="0.55000000000000004"/>
    <row r="427" ht="15.75" customHeight="1" x14ac:dyDescent="0.55000000000000004"/>
    <row r="428" ht="15.75" customHeight="1" x14ac:dyDescent="0.55000000000000004"/>
    <row r="429" ht="15.75" customHeight="1" x14ac:dyDescent="0.55000000000000004"/>
    <row r="430" ht="15.75" customHeight="1" x14ac:dyDescent="0.55000000000000004"/>
    <row r="431" ht="15.75" customHeight="1" x14ac:dyDescent="0.55000000000000004"/>
    <row r="432" ht="15.75" customHeight="1" x14ac:dyDescent="0.55000000000000004"/>
    <row r="433" ht="15.75" customHeight="1" x14ac:dyDescent="0.55000000000000004"/>
    <row r="434" ht="15.75" customHeight="1" x14ac:dyDescent="0.55000000000000004"/>
    <row r="435" ht="15.75" customHeight="1" x14ac:dyDescent="0.55000000000000004"/>
    <row r="436" ht="15.75" customHeight="1" x14ac:dyDescent="0.55000000000000004"/>
    <row r="437" ht="15.75" customHeight="1" x14ac:dyDescent="0.55000000000000004"/>
    <row r="438" ht="15.75" customHeight="1" x14ac:dyDescent="0.55000000000000004"/>
    <row r="439" ht="15.75" customHeight="1" x14ac:dyDescent="0.55000000000000004"/>
    <row r="440" ht="15.75" customHeight="1" x14ac:dyDescent="0.55000000000000004"/>
    <row r="441" ht="15.75" customHeight="1" x14ac:dyDescent="0.55000000000000004"/>
    <row r="442" ht="15.75" customHeight="1" x14ac:dyDescent="0.55000000000000004"/>
    <row r="443" ht="15.75" customHeight="1" x14ac:dyDescent="0.55000000000000004"/>
    <row r="444" ht="15.75" customHeight="1" x14ac:dyDescent="0.55000000000000004"/>
    <row r="445" ht="15.75" customHeight="1" x14ac:dyDescent="0.55000000000000004"/>
    <row r="446" ht="15.75" customHeight="1" x14ac:dyDescent="0.55000000000000004"/>
    <row r="447" ht="15.75" customHeight="1" x14ac:dyDescent="0.55000000000000004"/>
    <row r="448" ht="15.75" customHeight="1" x14ac:dyDescent="0.55000000000000004"/>
    <row r="449" ht="15.75" customHeight="1" x14ac:dyDescent="0.55000000000000004"/>
    <row r="450" ht="15.75" customHeight="1" x14ac:dyDescent="0.55000000000000004"/>
    <row r="451" ht="15.75" customHeight="1" x14ac:dyDescent="0.55000000000000004"/>
    <row r="452" ht="15.75" customHeight="1" x14ac:dyDescent="0.55000000000000004"/>
    <row r="453" ht="15.75" customHeight="1" x14ac:dyDescent="0.55000000000000004"/>
    <row r="454" ht="15.75" customHeight="1" x14ac:dyDescent="0.55000000000000004"/>
    <row r="455" ht="15.75" customHeight="1" x14ac:dyDescent="0.55000000000000004"/>
    <row r="456" ht="15.75" customHeight="1" x14ac:dyDescent="0.55000000000000004"/>
    <row r="457" ht="15.75" customHeight="1" x14ac:dyDescent="0.55000000000000004"/>
    <row r="458" ht="15.75" customHeight="1" x14ac:dyDescent="0.55000000000000004"/>
    <row r="459" ht="15.75" customHeight="1" x14ac:dyDescent="0.55000000000000004"/>
    <row r="460" ht="15.75" customHeight="1" x14ac:dyDescent="0.55000000000000004"/>
    <row r="461" ht="15.75" customHeight="1" x14ac:dyDescent="0.55000000000000004"/>
    <row r="462" ht="15.75" customHeight="1" x14ac:dyDescent="0.55000000000000004"/>
    <row r="463" ht="15.75" customHeight="1" x14ac:dyDescent="0.55000000000000004"/>
    <row r="464" ht="15.75" customHeight="1" x14ac:dyDescent="0.55000000000000004"/>
    <row r="465" ht="15.75" customHeight="1" x14ac:dyDescent="0.55000000000000004"/>
    <row r="466" ht="15.75" customHeight="1" x14ac:dyDescent="0.55000000000000004"/>
    <row r="467" ht="15.75" customHeight="1" x14ac:dyDescent="0.55000000000000004"/>
    <row r="468" ht="15.75" customHeight="1" x14ac:dyDescent="0.55000000000000004"/>
    <row r="469" ht="15.75" customHeight="1" x14ac:dyDescent="0.55000000000000004"/>
    <row r="470" ht="15.75" customHeight="1" x14ac:dyDescent="0.55000000000000004"/>
    <row r="471" ht="15.75" customHeight="1" x14ac:dyDescent="0.55000000000000004"/>
    <row r="472" ht="15.75" customHeight="1" x14ac:dyDescent="0.55000000000000004"/>
    <row r="473" ht="15.75" customHeight="1" x14ac:dyDescent="0.55000000000000004"/>
    <row r="474" ht="15.75" customHeight="1" x14ac:dyDescent="0.55000000000000004"/>
    <row r="475" ht="15.75" customHeight="1" x14ac:dyDescent="0.55000000000000004"/>
    <row r="476" ht="15.75" customHeight="1" x14ac:dyDescent="0.55000000000000004"/>
    <row r="477" ht="15.75" customHeight="1" x14ac:dyDescent="0.55000000000000004"/>
    <row r="478" ht="15.75" customHeight="1" x14ac:dyDescent="0.55000000000000004"/>
    <row r="479" ht="15.75" customHeight="1" x14ac:dyDescent="0.55000000000000004"/>
    <row r="480" ht="15.75" customHeight="1" x14ac:dyDescent="0.55000000000000004"/>
    <row r="481" ht="15.75" customHeight="1" x14ac:dyDescent="0.55000000000000004"/>
    <row r="482" ht="15.75" customHeight="1" x14ac:dyDescent="0.55000000000000004"/>
    <row r="483" ht="15.75" customHeight="1" x14ac:dyDescent="0.55000000000000004"/>
    <row r="484" ht="15.75" customHeight="1" x14ac:dyDescent="0.55000000000000004"/>
    <row r="485" ht="15.75" customHeight="1" x14ac:dyDescent="0.55000000000000004"/>
    <row r="486" ht="15.75" customHeight="1" x14ac:dyDescent="0.55000000000000004"/>
    <row r="487" ht="15.75" customHeight="1" x14ac:dyDescent="0.55000000000000004"/>
    <row r="488" ht="15.75" customHeight="1" x14ac:dyDescent="0.55000000000000004"/>
    <row r="489" ht="15.75" customHeight="1" x14ac:dyDescent="0.55000000000000004"/>
    <row r="490" ht="15.75" customHeight="1" x14ac:dyDescent="0.55000000000000004"/>
    <row r="491" ht="15.75" customHeight="1" x14ac:dyDescent="0.55000000000000004"/>
    <row r="492" ht="15.75" customHeight="1" x14ac:dyDescent="0.55000000000000004"/>
    <row r="493" ht="15.75" customHeight="1" x14ac:dyDescent="0.55000000000000004"/>
    <row r="494" ht="15.75" customHeight="1" x14ac:dyDescent="0.55000000000000004"/>
    <row r="495" ht="15.75" customHeight="1" x14ac:dyDescent="0.55000000000000004"/>
    <row r="496" ht="15.75" customHeight="1" x14ac:dyDescent="0.55000000000000004"/>
    <row r="497" ht="15.75" customHeight="1" x14ac:dyDescent="0.55000000000000004"/>
    <row r="498" ht="15.75" customHeight="1" x14ac:dyDescent="0.55000000000000004"/>
    <row r="499" ht="15.75" customHeight="1" x14ac:dyDescent="0.55000000000000004"/>
    <row r="500" ht="15.75" customHeight="1" x14ac:dyDescent="0.55000000000000004"/>
    <row r="501" ht="15.75" customHeight="1" x14ac:dyDescent="0.55000000000000004"/>
    <row r="502" ht="15.75" customHeight="1" x14ac:dyDescent="0.55000000000000004"/>
    <row r="503" ht="15.75" customHeight="1" x14ac:dyDescent="0.55000000000000004"/>
    <row r="504" ht="15.75" customHeight="1" x14ac:dyDescent="0.55000000000000004"/>
    <row r="505" ht="15.75" customHeight="1" x14ac:dyDescent="0.55000000000000004"/>
    <row r="506" ht="15.75" customHeight="1" x14ac:dyDescent="0.55000000000000004"/>
    <row r="507" ht="15.75" customHeight="1" x14ac:dyDescent="0.55000000000000004"/>
    <row r="508" ht="15.75" customHeight="1" x14ac:dyDescent="0.55000000000000004"/>
    <row r="509" ht="15.75" customHeight="1" x14ac:dyDescent="0.55000000000000004"/>
    <row r="510" ht="15.75" customHeight="1" x14ac:dyDescent="0.55000000000000004"/>
    <row r="511" ht="15.75" customHeight="1" x14ac:dyDescent="0.55000000000000004"/>
    <row r="512" ht="15.75" customHeight="1" x14ac:dyDescent="0.55000000000000004"/>
    <row r="513" ht="15.75" customHeight="1" x14ac:dyDescent="0.55000000000000004"/>
    <row r="514" ht="15.75" customHeight="1" x14ac:dyDescent="0.55000000000000004"/>
    <row r="515" ht="15.75" customHeight="1" x14ac:dyDescent="0.55000000000000004"/>
    <row r="516" ht="15.75" customHeight="1" x14ac:dyDescent="0.55000000000000004"/>
    <row r="517" ht="15.75" customHeight="1" x14ac:dyDescent="0.55000000000000004"/>
    <row r="518" ht="15.75" customHeight="1" x14ac:dyDescent="0.55000000000000004"/>
    <row r="519" ht="15.75" customHeight="1" x14ac:dyDescent="0.55000000000000004"/>
    <row r="520" ht="15.75" customHeight="1" x14ac:dyDescent="0.55000000000000004"/>
    <row r="521" ht="15.75" customHeight="1" x14ac:dyDescent="0.55000000000000004"/>
    <row r="522" ht="15.75" customHeight="1" x14ac:dyDescent="0.55000000000000004"/>
    <row r="523" ht="15.75" customHeight="1" x14ac:dyDescent="0.55000000000000004"/>
    <row r="524" ht="15.75" customHeight="1" x14ac:dyDescent="0.55000000000000004"/>
    <row r="525" ht="15.75" customHeight="1" x14ac:dyDescent="0.55000000000000004"/>
    <row r="526" ht="15.75" customHeight="1" x14ac:dyDescent="0.55000000000000004"/>
    <row r="527" ht="15.75" customHeight="1" x14ac:dyDescent="0.55000000000000004"/>
    <row r="528" ht="15.75" customHeight="1" x14ac:dyDescent="0.55000000000000004"/>
    <row r="529" ht="15.75" customHeight="1" x14ac:dyDescent="0.55000000000000004"/>
    <row r="530" ht="15.75" customHeight="1" x14ac:dyDescent="0.55000000000000004"/>
    <row r="531" ht="15.75" customHeight="1" x14ac:dyDescent="0.55000000000000004"/>
    <row r="532" ht="15.75" customHeight="1" x14ac:dyDescent="0.55000000000000004"/>
    <row r="533" ht="15.75" customHeight="1" x14ac:dyDescent="0.55000000000000004"/>
    <row r="534" ht="15.75" customHeight="1" x14ac:dyDescent="0.55000000000000004"/>
    <row r="535" ht="15.75" customHeight="1" x14ac:dyDescent="0.55000000000000004"/>
    <row r="536" ht="15.75" customHeight="1" x14ac:dyDescent="0.55000000000000004"/>
    <row r="537" ht="15.75" customHeight="1" x14ac:dyDescent="0.55000000000000004"/>
    <row r="538" ht="15.75" customHeight="1" x14ac:dyDescent="0.55000000000000004"/>
    <row r="539" ht="15.75" customHeight="1" x14ac:dyDescent="0.55000000000000004"/>
    <row r="540" ht="15.75" customHeight="1" x14ac:dyDescent="0.55000000000000004"/>
    <row r="541" ht="15.75" customHeight="1" x14ac:dyDescent="0.55000000000000004"/>
    <row r="542" ht="15.75" customHeight="1" x14ac:dyDescent="0.55000000000000004"/>
    <row r="543" ht="15.75" customHeight="1" x14ac:dyDescent="0.55000000000000004"/>
    <row r="544" ht="15.75" customHeight="1" x14ac:dyDescent="0.55000000000000004"/>
    <row r="545" ht="15.75" customHeight="1" x14ac:dyDescent="0.55000000000000004"/>
    <row r="546" ht="15.75" customHeight="1" x14ac:dyDescent="0.55000000000000004"/>
    <row r="547" ht="15.75" customHeight="1" x14ac:dyDescent="0.55000000000000004"/>
    <row r="548" ht="15.75" customHeight="1" x14ac:dyDescent="0.55000000000000004"/>
    <row r="549" ht="15.75" customHeight="1" x14ac:dyDescent="0.55000000000000004"/>
    <row r="550" ht="15.75" customHeight="1" x14ac:dyDescent="0.55000000000000004"/>
    <row r="551" ht="15.75" customHeight="1" x14ac:dyDescent="0.55000000000000004"/>
    <row r="552" ht="15.75" customHeight="1" x14ac:dyDescent="0.55000000000000004"/>
    <row r="553" ht="15.75" customHeight="1" x14ac:dyDescent="0.55000000000000004"/>
    <row r="554" ht="15.75" customHeight="1" x14ac:dyDescent="0.55000000000000004"/>
    <row r="555" ht="15.75" customHeight="1" x14ac:dyDescent="0.55000000000000004"/>
    <row r="556" ht="15.75" customHeight="1" x14ac:dyDescent="0.55000000000000004"/>
    <row r="557" ht="15.75" customHeight="1" x14ac:dyDescent="0.55000000000000004"/>
    <row r="558" ht="15.75" customHeight="1" x14ac:dyDescent="0.55000000000000004"/>
    <row r="559" ht="15.75" customHeight="1" x14ac:dyDescent="0.55000000000000004"/>
    <row r="560" ht="15.75" customHeight="1" x14ac:dyDescent="0.55000000000000004"/>
    <row r="561" ht="15.75" customHeight="1" x14ac:dyDescent="0.55000000000000004"/>
    <row r="562" ht="15.75" customHeight="1" x14ac:dyDescent="0.55000000000000004"/>
    <row r="563" ht="15.75" customHeight="1" x14ac:dyDescent="0.55000000000000004"/>
    <row r="564" ht="15.75" customHeight="1" x14ac:dyDescent="0.55000000000000004"/>
    <row r="565" ht="15.75" customHeight="1" x14ac:dyDescent="0.55000000000000004"/>
    <row r="566" ht="15.75" customHeight="1" x14ac:dyDescent="0.55000000000000004"/>
    <row r="567" ht="15.75" customHeight="1" x14ac:dyDescent="0.55000000000000004"/>
    <row r="568" ht="15.75" customHeight="1" x14ac:dyDescent="0.55000000000000004"/>
    <row r="569" ht="15.75" customHeight="1" x14ac:dyDescent="0.55000000000000004"/>
    <row r="570" ht="15.75" customHeight="1" x14ac:dyDescent="0.55000000000000004"/>
    <row r="571" ht="15.75" customHeight="1" x14ac:dyDescent="0.55000000000000004"/>
    <row r="572" ht="15.75" customHeight="1" x14ac:dyDescent="0.55000000000000004"/>
    <row r="573" ht="15.75" customHeight="1" x14ac:dyDescent="0.55000000000000004"/>
    <row r="574" ht="15.75" customHeight="1" x14ac:dyDescent="0.55000000000000004"/>
    <row r="575" ht="15.75" customHeight="1" x14ac:dyDescent="0.55000000000000004"/>
    <row r="576" ht="15.75" customHeight="1" x14ac:dyDescent="0.55000000000000004"/>
    <row r="577" ht="15.75" customHeight="1" x14ac:dyDescent="0.55000000000000004"/>
    <row r="578" ht="15.75" customHeight="1" x14ac:dyDescent="0.55000000000000004"/>
    <row r="579" ht="15.75" customHeight="1" x14ac:dyDescent="0.55000000000000004"/>
    <row r="580" ht="15.75" customHeight="1" x14ac:dyDescent="0.55000000000000004"/>
    <row r="581" ht="15.75" customHeight="1" x14ac:dyDescent="0.55000000000000004"/>
    <row r="582" ht="15.75" customHeight="1" x14ac:dyDescent="0.55000000000000004"/>
    <row r="583" ht="15.75" customHeight="1" x14ac:dyDescent="0.55000000000000004"/>
    <row r="584" ht="15.75" customHeight="1" x14ac:dyDescent="0.55000000000000004"/>
    <row r="585" ht="15.75" customHeight="1" x14ac:dyDescent="0.55000000000000004"/>
    <row r="586" ht="15.75" customHeight="1" x14ac:dyDescent="0.55000000000000004"/>
    <row r="587" ht="15.75" customHeight="1" x14ac:dyDescent="0.55000000000000004"/>
    <row r="588" ht="15.75" customHeight="1" x14ac:dyDescent="0.55000000000000004"/>
    <row r="589" ht="15.75" customHeight="1" x14ac:dyDescent="0.55000000000000004"/>
    <row r="590" ht="15.75" customHeight="1" x14ac:dyDescent="0.55000000000000004"/>
    <row r="591" ht="15.75" customHeight="1" x14ac:dyDescent="0.55000000000000004"/>
    <row r="592" ht="15.75" customHeight="1" x14ac:dyDescent="0.55000000000000004"/>
    <row r="593" ht="15.75" customHeight="1" x14ac:dyDescent="0.55000000000000004"/>
    <row r="594" ht="15.75" customHeight="1" x14ac:dyDescent="0.55000000000000004"/>
    <row r="595" ht="15.75" customHeight="1" x14ac:dyDescent="0.55000000000000004"/>
    <row r="596" ht="15.75" customHeight="1" x14ac:dyDescent="0.55000000000000004"/>
    <row r="597" ht="15.75" customHeight="1" x14ac:dyDescent="0.55000000000000004"/>
    <row r="598" ht="15.75" customHeight="1" x14ac:dyDescent="0.55000000000000004"/>
    <row r="599" ht="15.75" customHeight="1" x14ac:dyDescent="0.55000000000000004"/>
    <row r="600" ht="15.75" customHeight="1" x14ac:dyDescent="0.55000000000000004"/>
    <row r="601" ht="15.75" customHeight="1" x14ac:dyDescent="0.55000000000000004"/>
    <row r="602" ht="15.75" customHeight="1" x14ac:dyDescent="0.55000000000000004"/>
    <row r="603" ht="15.75" customHeight="1" x14ac:dyDescent="0.55000000000000004"/>
    <row r="604" ht="15.75" customHeight="1" x14ac:dyDescent="0.55000000000000004"/>
    <row r="605" ht="15.75" customHeight="1" x14ac:dyDescent="0.55000000000000004"/>
    <row r="606" ht="15.75" customHeight="1" x14ac:dyDescent="0.55000000000000004"/>
    <row r="607" ht="15.75" customHeight="1" x14ac:dyDescent="0.55000000000000004"/>
    <row r="608" ht="15.75" customHeight="1" x14ac:dyDescent="0.55000000000000004"/>
    <row r="609" ht="15.75" customHeight="1" x14ac:dyDescent="0.55000000000000004"/>
    <row r="610" ht="15.75" customHeight="1" x14ac:dyDescent="0.55000000000000004"/>
    <row r="611" ht="15.75" customHeight="1" x14ac:dyDescent="0.55000000000000004"/>
    <row r="612" ht="15.75" customHeight="1" x14ac:dyDescent="0.55000000000000004"/>
    <row r="613" ht="15.75" customHeight="1" x14ac:dyDescent="0.55000000000000004"/>
    <row r="614" ht="15.75" customHeight="1" x14ac:dyDescent="0.55000000000000004"/>
    <row r="615" ht="15.75" customHeight="1" x14ac:dyDescent="0.55000000000000004"/>
    <row r="616" ht="15.75" customHeight="1" x14ac:dyDescent="0.55000000000000004"/>
    <row r="617" ht="15.75" customHeight="1" x14ac:dyDescent="0.55000000000000004"/>
    <row r="618" ht="15.75" customHeight="1" x14ac:dyDescent="0.55000000000000004"/>
    <row r="619" ht="15.75" customHeight="1" x14ac:dyDescent="0.55000000000000004"/>
    <row r="620" ht="15.75" customHeight="1" x14ac:dyDescent="0.55000000000000004"/>
    <row r="621" ht="15.75" customHeight="1" x14ac:dyDescent="0.55000000000000004"/>
    <row r="622" ht="15.75" customHeight="1" x14ac:dyDescent="0.55000000000000004"/>
    <row r="623" ht="15.75" customHeight="1" x14ac:dyDescent="0.55000000000000004"/>
    <row r="624" ht="15.75" customHeight="1" x14ac:dyDescent="0.55000000000000004"/>
    <row r="625" ht="15.75" customHeight="1" x14ac:dyDescent="0.55000000000000004"/>
    <row r="626" ht="15.75" customHeight="1" x14ac:dyDescent="0.55000000000000004"/>
    <row r="627" ht="15.75" customHeight="1" x14ac:dyDescent="0.55000000000000004"/>
    <row r="628" ht="15.75" customHeight="1" x14ac:dyDescent="0.55000000000000004"/>
    <row r="629" ht="15.75" customHeight="1" x14ac:dyDescent="0.55000000000000004"/>
    <row r="630" ht="15.75" customHeight="1" x14ac:dyDescent="0.55000000000000004"/>
    <row r="631" ht="15.75" customHeight="1" x14ac:dyDescent="0.55000000000000004"/>
    <row r="632" ht="15.75" customHeight="1" x14ac:dyDescent="0.55000000000000004"/>
    <row r="633" ht="15.75" customHeight="1" x14ac:dyDescent="0.55000000000000004"/>
    <row r="634" ht="15.75" customHeight="1" x14ac:dyDescent="0.55000000000000004"/>
    <row r="635" ht="15.75" customHeight="1" x14ac:dyDescent="0.55000000000000004"/>
    <row r="636" ht="15.75" customHeight="1" x14ac:dyDescent="0.55000000000000004"/>
    <row r="637" ht="15.75" customHeight="1" x14ac:dyDescent="0.55000000000000004"/>
    <row r="638" ht="15.75" customHeight="1" x14ac:dyDescent="0.55000000000000004"/>
    <row r="639" ht="15.75" customHeight="1" x14ac:dyDescent="0.55000000000000004"/>
    <row r="640" ht="15.75" customHeight="1" x14ac:dyDescent="0.55000000000000004"/>
    <row r="641" ht="15.75" customHeight="1" x14ac:dyDescent="0.55000000000000004"/>
    <row r="642" ht="15.75" customHeight="1" x14ac:dyDescent="0.55000000000000004"/>
    <row r="643" ht="15.75" customHeight="1" x14ac:dyDescent="0.55000000000000004"/>
    <row r="644" ht="15.75" customHeight="1" x14ac:dyDescent="0.55000000000000004"/>
    <row r="645" ht="15.75" customHeight="1" x14ac:dyDescent="0.55000000000000004"/>
    <row r="646" ht="15.75" customHeight="1" x14ac:dyDescent="0.55000000000000004"/>
    <row r="647" ht="15.75" customHeight="1" x14ac:dyDescent="0.55000000000000004"/>
    <row r="648" ht="15.75" customHeight="1" x14ac:dyDescent="0.55000000000000004"/>
    <row r="649" ht="15.75" customHeight="1" x14ac:dyDescent="0.55000000000000004"/>
    <row r="650" ht="15.75" customHeight="1" x14ac:dyDescent="0.55000000000000004"/>
    <row r="651" ht="15.75" customHeight="1" x14ac:dyDescent="0.55000000000000004"/>
    <row r="652" ht="15.75" customHeight="1" x14ac:dyDescent="0.55000000000000004"/>
    <row r="653" ht="15.75" customHeight="1" x14ac:dyDescent="0.55000000000000004"/>
    <row r="654" ht="15.75" customHeight="1" x14ac:dyDescent="0.55000000000000004"/>
    <row r="655" ht="15.75" customHeight="1" x14ac:dyDescent="0.55000000000000004"/>
    <row r="656" ht="15.75" customHeight="1" x14ac:dyDescent="0.55000000000000004"/>
    <row r="657" ht="15.75" customHeight="1" x14ac:dyDescent="0.55000000000000004"/>
    <row r="658" ht="15.75" customHeight="1" x14ac:dyDescent="0.55000000000000004"/>
    <row r="659" ht="15.75" customHeight="1" x14ac:dyDescent="0.55000000000000004"/>
    <row r="660" ht="15.75" customHeight="1" x14ac:dyDescent="0.55000000000000004"/>
    <row r="661" ht="15.75" customHeight="1" x14ac:dyDescent="0.55000000000000004"/>
    <row r="662" ht="15.75" customHeight="1" x14ac:dyDescent="0.55000000000000004"/>
    <row r="663" ht="15.75" customHeight="1" x14ac:dyDescent="0.55000000000000004"/>
    <row r="664" ht="15.75" customHeight="1" x14ac:dyDescent="0.55000000000000004"/>
    <row r="665" ht="15.75" customHeight="1" x14ac:dyDescent="0.55000000000000004"/>
    <row r="666" ht="15.75" customHeight="1" x14ac:dyDescent="0.55000000000000004"/>
    <row r="667" ht="15.75" customHeight="1" x14ac:dyDescent="0.55000000000000004"/>
    <row r="668" ht="15.75" customHeight="1" x14ac:dyDescent="0.55000000000000004"/>
    <row r="669" ht="15.75" customHeight="1" x14ac:dyDescent="0.55000000000000004"/>
    <row r="670" ht="15.75" customHeight="1" x14ac:dyDescent="0.55000000000000004"/>
    <row r="671" ht="15.75" customHeight="1" x14ac:dyDescent="0.55000000000000004"/>
    <row r="672" ht="15.75" customHeight="1" x14ac:dyDescent="0.55000000000000004"/>
    <row r="673" ht="15.75" customHeight="1" x14ac:dyDescent="0.55000000000000004"/>
    <row r="674" ht="15.75" customHeight="1" x14ac:dyDescent="0.55000000000000004"/>
    <row r="675" ht="15.75" customHeight="1" x14ac:dyDescent="0.55000000000000004"/>
    <row r="676" ht="15.75" customHeight="1" x14ac:dyDescent="0.55000000000000004"/>
    <row r="677" ht="15.75" customHeight="1" x14ac:dyDescent="0.55000000000000004"/>
    <row r="678" ht="15.75" customHeight="1" x14ac:dyDescent="0.55000000000000004"/>
    <row r="679" ht="15.75" customHeight="1" x14ac:dyDescent="0.55000000000000004"/>
    <row r="680" ht="15.75" customHeight="1" x14ac:dyDescent="0.55000000000000004"/>
    <row r="681" ht="15.75" customHeight="1" x14ac:dyDescent="0.55000000000000004"/>
    <row r="682" ht="15.75" customHeight="1" x14ac:dyDescent="0.55000000000000004"/>
    <row r="683" ht="15.75" customHeight="1" x14ac:dyDescent="0.55000000000000004"/>
    <row r="684" ht="15.75" customHeight="1" x14ac:dyDescent="0.55000000000000004"/>
    <row r="685" ht="15.75" customHeight="1" x14ac:dyDescent="0.55000000000000004"/>
    <row r="686" ht="15.75" customHeight="1" x14ac:dyDescent="0.55000000000000004"/>
    <row r="687" ht="15.75" customHeight="1" x14ac:dyDescent="0.55000000000000004"/>
    <row r="688" ht="15.75" customHeight="1" x14ac:dyDescent="0.55000000000000004"/>
    <row r="689" ht="15.75" customHeight="1" x14ac:dyDescent="0.55000000000000004"/>
    <row r="690" ht="15.75" customHeight="1" x14ac:dyDescent="0.55000000000000004"/>
    <row r="691" ht="15.75" customHeight="1" x14ac:dyDescent="0.55000000000000004"/>
    <row r="692" ht="15.75" customHeight="1" x14ac:dyDescent="0.55000000000000004"/>
    <row r="693" ht="15.75" customHeight="1" x14ac:dyDescent="0.55000000000000004"/>
    <row r="694" ht="15.75" customHeight="1" x14ac:dyDescent="0.55000000000000004"/>
    <row r="695" ht="15.75" customHeight="1" x14ac:dyDescent="0.55000000000000004"/>
    <row r="696" ht="15.75" customHeight="1" x14ac:dyDescent="0.55000000000000004"/>
    <row r="697" ht="15.75" customHeight="1" x14ac:dyDescent="0.55000000000000004"/>
    <row r="698" ht="15.75" customHeight="1" x14ac:dyDescent="0.55000000000000004"/>
    <row r="699" ht="15.75" customHeight="1" x14ac:dyDescent="0.55000000000000004"/>
    <row r="700" ht="15.75" customHeight="1" x14ac:dyDescent="0.55000000000000004"/>
    <row r="701" ht="15.75" customHeight="1" x14ac:dyDescent="0.55000000000000004"/>
    <row r="702" ht="15.75" customHeight="1" x14ac:dyDescent="0.55000000000000004"/>
    <row r="703" ht="15.75" customHeight="1" x14ac:dyDescent="0.55000000000000004"/>
    <row r="704" ht="15.75" customHeight="1" x14ac:dyDescent="0.55000000000000004"/>
    <row r="705" ht="15.75" customHeight="1" x14ac:dyDescent="0.55000000000000004"/>
    <row r="706" ht="15.75" customHeight="1" x14ac:dyDescent="0.55000000000000004"/>
    <row r="707" ht="15.75" customHeight="1" x14ac:dyDescent="0.55000000000000004"/>
    <row r="708" ht="15.75" customHeight="1" x14ac:dyDescent="0.55000000000000004"/>
    <row r="709" ht="15.75" customHeight="1" x14ac:dyDescent="0.55000000000000004"/>
    <row r="710" ht="15.75" customHeight="1" x14ac:dyDescent="0.55000000000000004"/>
    <row r="711" ht="15.75" customHeight="1" x14ac:dyDescent="0.55000000000000004"/>
    <row r="712" ht="15.75" customHeight="1" x14ac:dyDescent="0.55000000000000004"/>
    <row r="713" ht="15.75" customHeight="1" x14ac:dyDescent="0.55000000000000004"/>
    <row r="714" ht="15.75" customHeight="1" x14ac:dyDescent="0.55000000000000004"/>
    <row r="715" ht="15.75" customHeight="1" x14ac:dyDescent="0.55000000000000004"/>
    <row r="716" ht="15.75" customHeight="1" x14ac:dyDescent="0.55000000000000004"/>
    <row r="717" ht="15.75" customHeight="1" x14ac:dyDescent="0.55000000000000004"/>
    <row r="718" ht="15.75" customHeight="1" x14ac:dyDescent="0.55000000000000004"/>
    <row r="719" ht="15.75" customHeight="1" x14ac:dyDescent="0.55000000000000004"/>
    <row r="720" ht="15.75" customHeight="1" x14ac:dyDescent="0.55000000000000004"/>
    <row r="721" ht="15.75" customHeight="1" x14ac:dyDescent="0.55000000000000004"/>
    <row r="722" ht="15.75" customHeight="1" x14ac:dyDescent="0.55000000000000004"/>
    <row r="723" ht="15.75" customHeight="1" x14ac:dyDescent="0.55000000000000004"/>
    <row r="724" ht="15.75" customHeight="1" x14ac:dyDescent="0.55000000000000004"/>
    <row r="725" ht="15.75" customHeight="1" x14ac:dyDescent="0.55000000000000004"/>
    <row r="726" ht="15.75" customHeight="1" x14ac:dyDescent="0.55000000000000004"/>
    <row r="727" ht="15.75" customHeight="1" x14ac:dyDescent="0.55000000000000004"/>
    <row r="728" ht="15.75" customHeight="1" x14ac:dyDescent="0.55000000000000004"/>
    <row r="729" ht="15.75" customHeight="1" x14ac:dyDescent="0.55000000000000004"/>
    <row r="730" ht="15.75" customHeight="1" x14ac:dyDescent="0.55000000000000004"/>
    <row r="731" ht="15.75" customHeight="1" x14ac:dyDescent="0.55000000000000004"/>
    <row r="732" ht="15.75" customHeight="1" x14ac:dyDescent="0.55000000000000004"/>
    <row r="733" ht="15.75" customHeight="1" x14ac:dyDescent="0.55000000000000004"/>
    <row r="734" ht="15.75" customHeight="1" x14ac:dyDescent="0.55000000000000004"/>
    <row r="735" ht="15.75" customHeight="1" x14ac:dyDescent="0.55000000000000004"/>
    <row r="736" ht="15.75" customHeight="1" x14ac:dyDescent="0.55000000000000004"/>
    <row r="737" ht="15.75" customHeight="1" x14ac:dyDescent="0.55000000000000004"/>
    <row r="738" ht="15.75" customHeight="1" x14ac:dyDescent="0.55000000000000004"/>
    <row r="739" ht="15.75" customHeight="1" x14ac:dyDescent="0.55000000000000004"/>
    <row r="740" ht="15.75" customHeight="1" x14ac:dyDescent="0.55000000000000004"/>
    <row r="741" ht="15.75" customHeight="1" x14ac:dyDescent="0.55000000000000004"/>
    <row r="742" ht="15.75" customHeight="1" x14ac:dyDescent="0.55000000000000004"/>
    <row r="743" ht="15.75" customHeight="1" x14ac:dyDescent="0.55000000000000004"/>
    <row r="744" ht="15.75" customHeight="1" x14ac:dyDescent="0.55000000000000004"/>
    <row r="745" ht="15.75" customHeight="1" x14ac:dyDescent="0.55000000000000004"/>
    <row r="746" ht="15.75" customHeight="1" x14ac:dyDescent="0.55000000000000004"/>
    <row r="747" ht="15.75" customHeight="1" x14ac:dyDescent="0.55000000000000004"/>
    <row r="748" ht="15.75" customHeight="1" x14ac:dyDescent="0.55000000000000004"/>
    <row r="749" ht="15.75" customHeight="1" x14ac:dyDescent="0.55000000000000004"/>
    <row r="750" ht="15.75" customHeight="1" x14ac:dyDescent="0.55000000000000004"/>
    <row r="751" ht="15.75" customHeight="1" x14ac:dyDescent="0.55000000000000004"/>
    <row r="752" ht="15.75" customHeight="1" x14ac:dyDescent="0.55000000000000004"/>
    <row r="753" ht="15.75" customHeight="1" x14ac:dyDescent="0.55000000000000004"/>
    <row r="754" ht="15.75" customHeight="1" x14ac:dyDescent="0.55000000000000004"/>
    <row r="755" ht="15.75" customHeight="1" x14ac:dyDescent="0.55000000000000004"/>
    <row r="756" ht="15.75" customHeight="1" x14ac:dyDescent="0.55000000000000004"/>
    <row r="757" ht="15.75" customHeight="1" x14ac:dyDescent="0.55000000000000004"/>
    <row r="758" ht="15.75" customHeight="1" x14ac:dyDescent="0.55000000000000004"/>
    <row r="759" ht="15.75" customHeight="1" x14ac:dyDescent="0.55000000000000004"/>
    <row r="760" ht="15.75" customHeight="1" x14ac:dyDescent="0.55000000000000004"/>
    <row r="761" ht="15.75" customHeight="1" x14ac:dyDescent="0.55000000000000004"/>
    <row r="762" ht="15.75" customHeight="1" x14ac:dyDescent="0.55000000000000004"/>
    <row r="763" ht="15.75" customHeight="1" x14ac:dyDescent="0.55000000000000004"/>
    <row r="764" ht="15.75" customHeight="1" x14ac:dyDescent="0.55000000000000004"/>
    <row r="765" ht="15.75" customHeight="1" x14ac:dyDescent="0.55000000000000004"/>
    <row r="766" ht="15.75" customHeight="1" x14ac:dyDescent="0.55000000000000004"/>
    <row r="767" ht="15.75" customHeight="1" x14ac:dyDescent="0.55000000000000004"/>
    <row r="768" ht="15.75" customHeight="1" x14ac:dyDescent="0.55000000000000004"/>
    <row r="769" ht="15.75" customHeight="1" x14ac:dyDescent="0.55000000000000004"/>
    <row r="770" ht="15.75" customHeight="1" x14ac:dyDescent="0.55000000000000004"/>
    <row r="771" ht="15.75" customHeight="1" x14ac:dyDescent="0.55000000000000004"/>
    <row r="772" ht="15.75" customHeight="1" x14ac:dyDescent="0.55000000000000004"/>
    <row r="773" ht="15.75" customHeight="1" x14ac:dyDescent="0.55000000000000004"/>
    <row r="774" ht="15.75" customHeight="1" x14ac:dyDescent="0.55000000000000004"/>
    <row r="775" ht="15.75" customHeight="1" x14ac:dyDescent="0.55000000000000004"/>
    <row r="776" ht="15.75" customHeight="1" x14ac:dyDescent="0.55000000000000004"/>
    <row r="777" ht="15.75" customHeight="1" x14ac:dyDescent="0.55000000000000004"/>
    <row r="778" ht="15.75" customHeight="1" x14ac:dyDescent="0.55000000000000004"/>
    <row r="779" ht="15.75" customHeight="1" x14ac:dyDescent="0.55000000000000004"/>
    <row r="780" ht="15.75" customHeight="1" x14ac:dyDescent="0.55000000000000004"/>
    <row r="781" ht="15.75" customHeight="1" x14ac:dyDescent="0.55000000000000004"/>
    <row r="782" ht="15.75" customHeight="1" x14ac:dyDescent="0.55000000000000004"/>
    <row r="783" ht="15.75" customHeight="1" x14ac:dyDescent="0.55000000000000004"/>
    <row r="784" ht="15.75" customHeight="1" x14ac:dyDescent="0.55000000000000004"/>
    <row r="785" ht="15.75" customHeight="1" x14ac:dyDescent="0.55000000000000004"/>
    <row r="786" ht="15.75" customHeight="1" x14ac:dyDescent="0.55000000000000004"/>
    <row r="787" ht="15.75" customHeight="1" x14ac:dyDescent="0.55000000000000004"/>
    <row r="788" ht="15.75" customHeight="1" x14ac:dyDescent="0.55000000000000004"/>
    <row r="789" ht="15.75" customHeight="1" x14ac:dyDescent="0.55000000000000004"/>
    <row r="790" ht="15.75" customHeight="1" x14ac:dyDescent="0.55000000000000004"/>
    <row r="791" ht="15.75" customHeight="1" x14ac:dyDescent="0.55000000000000004"/>
    <row r="792" ht="15.75" customHeight="1" x14ac:dyDescent="0.55000000000000004"/>
    <row r="793" ht="15.75" customHeight="1" x14ac:dyDescent="0.55000000000000004"/>
    <row r="794" ht="15.75" customHeight="1" x14ac:dyDescent="0.55000000000000004"/>
    <row r="795" ht="15.75" customHeight="1" x14ac:dyDescent="0.55000000000000004"/>
    <row r="796" ht="15.75" customHeight="1" x14ac:dyDescent="0.55000000000000004"/>
    <row r="797" ht="15.75" customHeight="1" x14ac:dyDescent="0.55000000000000004"/>
    <row r="798" ht="15.75" customHeight="1" x14ac:dyDescent="0.55000000000000004"/>
    <row r="799" ht="15.75" customHeight="1" x14ac:dyDescent="0.55000000000000004"/>
    <row r="800" ht="15.75" customHeight="1" x14ac:dyDescent="0.55000000000000004"/>
    <row r="801" ht="15.75" customHeight="1" x14ac:dyDescent="0.55000000000000004"/>
    <row r="802" ht="15.75" customHeight="1" x14ac:dyDescent="0.55000000000000004"/>
    <row r="803" ht="15.75" customHeight="1" x14ac:dyDescent="0.55000000000000004"/>
    <row r="804" ht="15.75" customHeight="1" x14ac:dyDescent="0.55000000000000004"/>
    <row r="805" ht="15.75" customHeight="1" x14ac:dyDescent="0.55000000000000004"/>
    <row r="806" ht="15.75" customHeight="1" x14ac:dyDescent="0.55000000000000004"/>
    <row r="807" ht="15.75" customHeight="1" x14ac:dyDescent="0.55000000000000004"/>
    <row r="808" ht="15.75" customHeight="1" x14ac:dyDescent="0.55000000000000004"/>
    <row r="809" ht="15.75" customHeight="1" x14ac:dyDescent="0.55000000000000004"/>
    <row r="810" ht="15.75" customHeight="1" x14ac:dyDescent="0.55000000000000004"/>
    <row r="811" ht="15.75" customHeight="1" x14ac:dyDescent="0.55000000000000004"/>
    <row r="812" ht="15.75" customHeight="1" x14ac:dyDescent="0.55000000000000004"/>
    <row r="813" ht="15.75" customHeight="1" x14ac:dyDescent="0.55000000000000004"/>
    <row r="814" ht="15.75" customHeight="1" x14ac:dyDescent="0.55000000000000004"/>
    <row r="815" ht="15.75" customHeight="1" x14ac:dyDescent="0.55000000000000004"/>
    <row r="816" ht="15.75" customHeight="1" x14ac:dyDescent="0.55000000000000004"/>
    <row r="817" ht="15.75" customHeight="1" x14ac:dyDescent="0.55000000000000004"/>
    <row r="818" ht="15.75" customHeight="1" x14ac:dyDescent="0.55000000000000004"/>
    <row r="819" ht="15.75" customHeight="1" x14ac:dyDescent="0.55000000000000004"/>
    <row r="820" ht="15.75" customHeight="1" x14ac:dyDescent="0.55000000000000004"/>
    <row r="821" ht="15.75" customHeight="1" x14ac:dyDescent="0.55000000000000004"/>
    <row r="822" ht="15.75" customHeight="1" x14ac:dyDescent="0.55000000000000004"/>
    <row r="823" ht="15.75" customHeight="1" x14ac:dyDescent="0.55000000000000004"/>
    <row r="824" ht="15.75" customHeight="1" x14ac:dyDescent="0.55000000000000004"/>
    <row r="825" ht="15.75" customHeight="1" x14ac:dyDescent="0.55000000000000004"/>
    <row r="826" ht="15.75" customHeight="1" x14ac:dyDescent="0.55000000000000004"/>
    <row r="827" ht="15.75" customHeight="1" x14ac:dyDescent="0.55000000000000004"/>
    <row r="828" ht="15.75" customHeight="1" x14ac:dyDescent="0.55000000000000004"/>
    <row r="829" ht="15.75" customHeight="1" x14ac:dyDescent="0.55000000000000004"/>
    <row r="830" ht="15.75" customHeight="1" x14ac:dyDescent="0.55000000000000004"/>
    <row r="831" ht="15.75" customHeight="1" x14ac:dyDescent="0.55000000000000004"/>
    <row r="832" ht="15.75" customHeight="1" x14ac:dyDescent="0.55000000000000004"/>
    <row r="833" ht="15.75" customHeight="1" x14ac:dyDescent="0.55000000000000004"/>
    <row r="834" ht="15.75" customHeight="1" x14ac:dyDescent="0.55000000000000004"/>
    <row r="835" ht="15.75" customHeight="1" x14ac:dyDescent="0.55000000000000004"/>
    <row r="836" ht="15.75" customHeight="1" x14ac:dyDescent="0.55000000000000004"/>
    <row r="837" ht="15.75" customHeight="1" x14ac:dyDescent="0.55000000000000004"/>
    <row r="838" ht="15.75" customHeight="1" x14ac:dyDescent="0.55000000000000004"/>
    <row r="839" ht="15.75" customHeight="1" x14ac:dyDescent="0.55000000000000004"/>
    <row r="840" ht="15.75" customHeight="1" x14ac:dyDescent="0.55000000000000004"/>
    <row r="841" ht="15.75" customHeight="1" x14ac:dyDescent="0.55000000000000004"/>
    <row r="842" ht="15.75" customHeight="1" x14ac:dyDescent="0.55000000000000004"/>
    <row r="843" ht="15.75" customHeight="1" x14ac:dyDescent="0.55000000000000004"/>
    <row r="844" ht="15.75" customHeight="1" x14ac:dyDescent="0.55000000000000004"/>
    <row r="845" ht="15.75" customHeight="1" x14ac:dyDescent="0.55000000000000004"/>
    <row r="846" ht="15.75" customHeight="1" x14ac:dyDescent="0.55000000000000004"/>
    <row r="847" ht="15.75" customHeight="1" x14ac:dyDescent="0.55000000000000004"/>
    <row r="848" ht="15.75" customHeight="1" x14ac:dyDescent="0.55000000000000004"/>
    <row r="849" ht="15.75" customHeight="1" x14ac:dyDescent="0.55000000000000004"/>
    <row r="850" ht="15.75" customHeight="1" x14ac:dyDescent="0.55000000000000004"/>
    <row r="851" ht="15.75" customHeight="1" x14ac:dyDescent="0.55000000000000004"/>
    <row r="852" ht="15.75" customHeight="1" x14ac:dyDescent="0.55000000000000004"/>
    <row r="853" ht="15.75" customHeight="1" x14ac:dyDescent="0.55000000000000004"/>
    <row r="854" ht="15.75" customHeight="1" x14ac:dyDescent="0.55000000000000004"/>
    <row r="855" ht="15.75" customHeight="1" x14ac:dyDescent="0.55000000000000004"/>
    <row r="856" ht="15.75" customHeight="1" x14ac:dyDescent="0.55000000000000004"/>
    <row r="857" ht="15.75" customHeight="1" x14ac:dyDescent="0.55000000000000004"/>
    <row r="858" ht="15.75" customHeight="1" x14ac:dyDescent="0.55000000000000004"/>
    <row r="859" ht="15.75" customHeight="1" x14ac:dyDescent="0.55000000000000004"/>
    <row r="860" ht="15.75" customHeight="1" x14ac:dyDescent="0.55000000000000004"/>
    <row r="861" ht="15.75" customHeight="1" x14ac:dyDescent="0.55000000000000004"/>
    <row r="862" ht="15.75" customHeight="1" x14ac:dyDescent="0.55000000000000004"/>
    <row r="863" ht="15.75" customHeight="1" x14ac:dyDescent="0.55000000000000004"/>
    <row r="864" ht="15.75" customHeight="1" x14ac:dyDescent="0.55000000000000004"/>
    <row r="865" ht="15.75" customHeight="1" x14ac:dyDescent="0.55000000000000004"/>
    <row r="866" ht="15.75" customHeight="1" x14ac:dyDescent="0.55000000000000004"/>
    <row r="867" ht="15.75" customHeight="1" x14ac:dyDescent="0.55000000000000004"/>
    <row r="868" ht="15.75" customHeight="1" x14ac:dyDescent="0.55000000000000004"/>
    <row r="869" ht="15.75" customHeight="1" x14ac:dyDescent="0.55000000000000004"/>
    <row r="870" ht="15.75" customHeight="1" x14ac:dyDescent="0.55000000000000004"/>
    <row r="871" ht="15.75" customHeight="1" x14ac:dyDescent="0.55000000000000004"/>
    <row r="872" ht="15.75" customHeight="1" x14ac:dyDescent="0.55000000000000004"/>
    <row r="873" ht="15.75" customHeight="1" x14ac:dyDescent="0.55000000000000004"/>
    <row r="874" ht="15.75" customHeight="1" x14ac:dyDescent="0.55000000000000004"/>
    <row r="875" ht="15.75" customHeight="1" x14ac:dyDescent="0.55000000000000004"/>
    <row r="876" ht="15.75" customHeight="1" x14ac:dyDescent="0.55000000000000004"/>
    <row r="877" ht="15.75" customHeight="1" x14ac:dyDescent="0.55000000000000004"/>
    <row r="878" ht="15.75" customHeight="1" x14ac:dyDescent="0.55000000000000004"/>
    <row r="879" ht="15.75" customHeight="1" x14ac:dyDescent="0.55000000000000004"/>
    <row r="880" ht="15.75" customHeight="1" x14ac:dyDescent="0.55000000000000004"/>
    <row r="881" ht="15.75" customHeight="1" x14ac:dyDescent="0.55000000000000004"/>
    <row r="882" ht="15.75" customHeight="1" x14ac:dyDescent="0.55000000000000004"/>
    <row r="883" ht="15.75" customHeight="1" x14ac:dyDescent="0.55000000000000004"/>
    <row r="884" ht="15.75" customHeight="1" x14ac:dyDescent="0.55000000000000004"/>
    <row r="885" ht="15.75" customHeight="1" x14ac:dyDescent="0.55000000000000004"/>
    <row r="886" ht="15.75" customHeight="1" x14ac:dyDescent="0.55000000000000004"/>
    <row r="887" ht="15.75" customHeight="1" x14ac:dyDescent="0.55000000000000004"/>
    <row r="888" ht="15.75" customHeight="1" x14ac:dyDescent="0.55000000000000004"/>
    <row r="889" ht="15.75" customHeight="1" x14ac:dyDescent="0.55000000000000004"/>
    <row r="890" ht="15.75" customHeight="1" x14ac:dyDescent="0.55000000000000004"/>
    <row r="891" ht="15.75" customHeight="1" x14ac:dyDescent="0.55000000000000004"/>
    <row r="892" ht="15.75" customHeight="1" x14ac:dyDescent="0.55000000000000004"/>
    <row r="893" ht="15.75" customHeight="1" x14ac:dyDescent="0.55000000000000004"/>
    <row r="894" ht="15.75" customHeight="1" x14ac:dyDescent="0.55000000000000004"/>
    <row r="895" ht="15.75" customHeight="1" x14ac:dyDescent="0.55000000000000004"/>
    <row r="896" ht="15.75" customHeight="1" x14ac:dyDescent="0.55000000000000004"/>
    <row r="897" ht="15.75" customHeight="1" x14ac:dyDescent="0.55000000000000004"/>
    <row r="898" ht="15.75" customHeight="1" x14ac:dyDescent="0.55000000000000004"/>
    <row r="899" ht="15.75" customHeight="1" x14ac:dyDescent="0.55000000000000004"/>
    <row r="900" ht="15.75" customHeight="1" x14ac:dyDescent="0.55000000000000004"/>
    <row r="901" ht="15.75" customHeight="1" x14ac:dyDescent="0.55000000000000004"/>
    <row r="902" ht="15.75" customHeight="1" x14ac:dyDescent="0.55000000000000004"/>
    <row r="903" ht="15.75" customHeight="1" x14ac:dyDescent="0.55000000000000004"/>
    <row r="904" ht="15.75" customHeight="1" x14ac:dyDescent="0.55000000000000004"/>
    <row r="905" ht="15.75" customHeight="1" x14ac:dyDescent="0.55000000000000004"/>
    <row r="906" ht="15.75" customHeight="1" x14ac:dyDescent="0.55000000000000004"/>
    <row r="907" ht="15.75" customHeight="1" x14ac:dyDescent="0.55000000000000004"/>
    <row r="908" ht="15.75" customHeight="1" x14ac:dyDescent="0.55000000000000004"/>
    <row r="909" ht="15.75" customHeight="1" x14ac:dyDescent="0.55000000000000004"/>
    <row r="910" ht="15.75" customHeight="1" x14ac:dyDescent="0.55000000000000004"/>
    <row r="911" ht="15.75" customHeight="1" x14ac:dyDescent="0.55000000000000004"/>
    <row r="912" ht="15.75" customHeight="1" x14ac:dyDescent="0.55000000000000004"/>
    <row r="913" ht="15.75" customHeight="1" x14ac:dyDescent="0.55000000000000004"/>
    <row r="914" ht="15.75" customHeight="1" x14ac:dyDescent="0.55000000000000004"/>
    <row r="915" ht="15.75" customHeight="1" x14ac:dyDescent="0.55000000000000004"/>
    <row r="916" ht="15.75" customHeight="1" x14ac:dyDescent="0.55000000000000004"/>
    <row r="917" ht="15.75" customHeight="1" x14ac:dyDescent="0.55000000000000004"/>
    <row r="918" ht="15.75" customHeight="1" x14ac:dyDescent="0.55000000000000004"/>
    <row r="919" ht="15.75" customHeight="1" x14ac:dyDescent="0.55000000000000004"/>
    <row r="920" ht="15.75" customHeight="1" x14ac:dyDescent="0.55000000000000004"/>
    <row r="921" ht="15.75" customHeight="1" x14ac:dyDescent="0.55000000000000004"/>
    <row r="922" ht="15.75" customHeight="1" x14ac:dyDescent="0.55000000000000004"/>
    <row r="923" ht="15.75" customHeight="1" x14ac:dyDescent="0.55000000000000004"/>
    <row r="924" ht="15.75" customHeight="1" x14ac:dyDescent="0.55000000000000004"/>
    <row r="925" ht="15.75" customHeight="1" x14ac:dyDescent="0.55000000000000004"/>
    <row r="926" ht="15.75" customHeight="1" x14ac:dyDescent="0.55000000000000004"/>
    <row r="927" ht="15.75" customHeight="1" x14ac:dyDescent="0.55000000000000004"/>
    <row r="928" ht="15.75" customHeight="1" x14ac:dyDescent="0.55000000000000004"/>
    <row r="929" ht="15.75" customHeight="1" x14ac:dyDescent="0.55000000000000004"/>
    <row r="930" ht="15.75" customHeight="1" x14ac:dyDescent="0.55000000000000004"/>
    <row r="931" ht="15.75" customHeight="1" x14ac:dyDescent="0.55000000000000004"/>
    <row r="932" ht="15.75" customHeight="1" x14ac:dyDescent="0.55000000000000004"/>
    <row r="933" ht="15.75" customHeight="1" x14ac:dyDescent="0.55000000000000004"/>
    <row r="934" ht="15.75" customHeight="1" x14ac:dyDescent="0.55000000000000004"/>
    <row r="935" ht="15.75" customHeight="1" x14ac:dyDescent="0.55000000000000004"/>
    <row r="936" ht="15.75" customHeight="1" x14ac:dyDescent="0.55000000000000004"/>
    <row r="937" ht="15.75" customHeight="1" x14ac:dyDescent="0.55000000000000004"/>
    <row r="938" ht="15.75" customHeight="1" x14ac:dyDescent="0.55000000000000004"/>
    <row r="939" ht="15.75" customHeight="1" x14ac:dyDescent="0.55000000000000004"/>
    <row r="940" ht="15.75" customHeight="1" x14ac:dyDescent="0.55000000000000004"/>
    <row r="941" ht="15.75" customHeight="1" x14ac:dyDescent="0.55000000000000004"/>
    <row r="942" ht="15.75" customHeight="1" x14ac:dyDescent="0.55000000000000004"/>
    <row r="943" ht="15.75" customHeight="1" x14ac:dyDescent="0.55000000000000004"/>
    <row r="944" ht="15.75" customHeight="1" x14ac:dyDescent="0.55000000000000004"/>
    <row r="945" ht="15.75" customHeight="1" x14ac:dyDescent="0.55000000000000004"/>
    <row r="946" ht="15.75" customHeight="1" x14ac:dyDescent="0.55000000000000004"/>
    <row r="947" ht="15.75" customHeight="1" x14ac:dyDescent="0.55000000000000004"/>
    <row r="948" ht="15.75" customHeight="1" x14ac:dyDescent="0.55000000000000004"/>
    <row r="949" ht="15.75" customHeight="1" x14ac:dyDescent="0.55000000000000004"/>
    <row r="950" ht="15.75" customHeight="1" x14ac:dyDescent="0.55000000000000004"/>
    <row r="951" ht="15.75" customHeight="1" x14ac:dyDescent="0.55000000000000004"/>
    <row r="952" ht="15.75" customHeight="1" x14ac:dyDescent="0.55000000000000004"/>
    <row r="953" ht="15.75" customHeight="1" x14ac:dyDescent="0.55000000000000004"/>
    <row r="954" ht="15.75" customHeight="1" x14ac:dyDescent="0.55000000000000004"/>
    <row r="955" ht="15.75" customHeight="1" x14ac:dyDescent="0.55000000000000004"/>
    <row r="956" ht="15.75" customHeight="1" x14ac:dyDescent="0.55000000000000004"/>
    <row r="957" ht="15.75" customHeight="1" x14ac:dyDescent="0.55000000000000004"/>
    <row r="958" ht="15.75" customHeight="1" x14ac:dyDescent="0.55000000000000004"/>
    <row r="959" ht="15.75" customHeight="1" x14ac:dyDescent="0.55000000000000004"/>
    <row r="960" ht="15.75" customHeight="1" x14ac:dyDescent="0.55000000000000004"/>
    <row r="961" ht="15.75" customHeight="1" x14ac:dyDescent="0.55000000000000004"/>
    <row r="962" ht="15.75" customHeight="1" x14ac:dyDescent="0.55000000000000004"/>
    <row r="963" ht="15.75" customHeight="1" x14ac:dyDescent="0.55000000000000004"/>
    <row r="964" ht="15.75" customHeight="1" x14ac:dyDescent="0.55000000000000004"/>
    <row r="965" ht="15.75" customHeight="1" x14ac:dyDescent="0.55000000000000004"/>
    <row r="966" ht="15.75" customHeight="1" x14ac:dyDescent="0.55000000000000004"/>
    <row r="967" ht="15.75" customHeight="1" x14ac:dyDescent="0.55000000000000004"/>
    <row r="968" ht="15.75" customHeight="1" x14ac:dyDescent="0.55000000000000004"/>
    <row r="969" ht="15.75" customHeight="1" x14ac:dyDescent="0.55000000000000004"/>
    <row r="970" ht="15.75" customHeight="1" x14ac:dyDescent="0.55000000000000004"/>
    <row r="971" ht="15.75" customHeight="1" x14ac:dyDescent="0.55000000000000004"/>
    <row r="972" ht="15.75" customHeight="1" x14ac:dyDescent="0.55000000000000004"/>
    <row r="973" ht="15.75" customHeight="1" x14ac:dyDescent="0.55000000000000004"/>
    <row r="974" ht="15.75" customHeight="1" x14ac:dyDescent="0.55000000000000004"/>
    <row r="975" ht="15.75" customHeight="1" x14ac:dyDescent="0.55000000000000004"/>
    <row r="976" ht="15.75" customHeight="1" x14ac:dyDescent="0.55000000000000004"/>
    <row r="977" ht="15.75" customHeight="1" x14ac:dyDescent="0.55000000000000004"/>
    <row r="978" ht="15.75" customHeight="1" x14ac:dyDescent="0.55000000000000004"/>
    <row r="979" ht="15.75" customHeight="1" x14ac:dyDescent="0.55000000000000004"/>
    <row r="980" ht="15.75" customHeight="1" x14ac:dyDescent="0.55000000000000004"/>
    <row r="981" ht="15.75" customHeight="1" x14ac:dyDescent="0.55000000000000004"/>
    <row r="982" ht="15.75" customHeight="1" x14ac:dyDescent="0.55000000000000004"/>
    <row r="983" ht="15.75" customHeight="1" x14ac:dyDescent="0.55000000000000004"/>
    <row r="984" ht="15.75" customHeight="1" x14ac:dyDescent="0.55000000000000004"/>
    <row r="985" ht="15.75" customHeight="1" x14ac:dyDescent="0.55000000000000004"/>
    <row r="986" ht="15.75" customHeight="1" x14ac:dyDescent="0.55000000000000004"/>
    <row r="987" ht="15.75" customHeight="1" x14ac:dyDescent="0.55000000000000004"/>
    <row r="988" ht="15.75" customHeight="1" x14ac:dyDescent="0.55000000000000004"/>
    <row r="989" ht="15.75" customHeight="1" x14ac:dyDescent="0.55000000000000004"/>
    <row r="990" ht="15.75" customHeight="1" x14ac:dyDescent="0.55000000000000004"/>
  </sheetData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Accesorios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Sebastián</dc:creator>
  <cp:lastModifiedBy>Sergio Sebastián</cp:lastModifiedBy>
  <dcterms:created xsi:type="dcterms:W3CDTF">2025-10-16T23:49:22Z</dcterms:created>
  <dcterms:modified xsi:type="dcterms:W3CDTF">2025-10-16T23:55:09Z</dcterms:modified>
</cp:coreProperties>
</file>