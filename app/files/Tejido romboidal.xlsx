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bastian\Downloads\"/>
    </mc:Choice>
  </mc:AlternateContent>
  <xr:revisionPtr revIDLastSave="0" documentId="13_ncr:1_{CD96A756-E180-42DB-BC34-BF243DA5AD69}" xr6:coauthVersionLast="47" xr6:coauthVersionMax="47" xr10:uidLastSave="{00000000-0000-0000-0000-000000000000}"/>
  <bookViews>
    <workbookView xWindow="-240" yWindow="-240" windowWidth="29280" windowHeight="15960" activeTab="1" xr2:uid="{00000000-000D-0000-FFFF-FFFF00000000}"/>
  </bookViews>
  <sheets>
    <sheet name="Resumen de precios" sheetId="2" r:id="rId1"/>
    <sheet name="Tejidos romboidales" sheetId="3" r:id="rId2"/>
    <sheet name="Articulos" sheetId="4" r:id="rId3"/>
  </sheets>
  <definedNames>
    <definedName name="_xlnm._FilterDatabase" localSheetId="1" hidden="1">'Tejidos romboidales'!$A$1:$I$41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4" roundtripDataChecksum="KU6g90qcA0BLOzTgWyykP9WunckD8dpDXCjyaYChRVM="/>
    </ext>
  </extLst>
</workbook>
</file>

<file path=xl/calcChain.xml><?xml version="1.0" encoding="utf-8"?>
<calcChain xmlns="http://schemas.openxmlformats.org/spreadsheetml/2006/main">
  <c r="J2" i="3" l="1"/>
  <c r="K67" i="4"/>
  <c r="J67" i="4"/>
  <c r="I67" i="4"/>
  <c r="H67" i="4"/>
  <c r="G67" i="4"/>
  <c r="F67" i="4"/>
  <c r="F66" i="4"/>
  <c r="I66" i="4" s="1"/>
  <c r="K65" i="4"/>
  <c r="G65" i="4"/>
  <c r="F65" i="4"/>
  <c r="K64" i="4"/>
  <c r="J64" i="4"/>
  <c r="I64" i="4"/>
  <c r="H64" i="4"/>
  <c r="G64" i="4"/>
  <c r="F64" i="4"/>
  <c r="K63" i="4"/>
  <c r="J63" i="4"/>
  <c r="I63" i="4"/>
  <c r="H63" i="4"/>
  <c r="G63" i="4"/>
  <c r="F63" i="4"/>
  <c r="I62" i="4"/>
  <c r="H62" i="4"/>
  <c r="G62" i="4"/>
  <c r="F62" i="4"/>
  <c r="G61" i="4"/>
  <c r="F61" i="4"/>
  <c r="K60" i="4"/>
  <c r="J60" i="4"/>
  <c r="I60" i="4"/>
  <c r="H60" i="4"/>
  <c r="G60" i="4"/>
  <c r="F60" i="4"/>
  <c r="K59" i="4"/>
  <c r="J59" i="4"/>
  <c r="I59" i="4"/>
  <c r="H59" i="4"/>
  <c r="G59" i="4"/>
  <c r="F59" i="4"/>
  <c r="I58" i="4"/>
  <c r="G58" i="4"/>
  <c r="F58" i="4"/>
  <c r="F57" i="4"/>
  <c r="G57" i="4" s="1"/>
  <c r="K56" i="4"/>
  <c r="J56" i="4"/>
  <c r="I56" i="4"/>
  <c r="H56" i="4"/>
  <c r="G56" i="4"/>
  <c r="F56" i="4"/>
  <c r="K55" i="4"/>
  <c r="J55" i="4"/>
  <c r="I55" i="4"/>
  <c r="H55" i="4"/>
  <c r="G55" i="4"/>
  <c r="F55" i="4"/>
  <c r="F54" i="4"/>
  <c r="K53" i="4"/>
  <c r="G53" i="4"/>
  <c r="F53" i="4"/>
  <c r="K52" i="4"/>
  <c r="J52" i="4"/>
  <c r="I52" i="4"/>
  <c r="H52" i="4"/>
  <c r="G52" i="4"/>
  <c r="F52" i="4"/>
  <c r="K51" i="4"/>
  <c r="J51" i="4"/>
  <c r="I51" i="4"/>
  <c r="H51" i="4"/>
  <c r="G51" i="4"/>
  <c r="F51" i="4"/>
  <c r="I50" i="4"/>
  <c r="H50" i="4"/>
  <c r="G50" i="4"/>
  <c r="F50" i="4"/>
  <c r="F49" i="4"/>
  <c r="K48" i="4"/>
  <c r="J48" i="4"/>
  <c r="I48" i="4"/>
  <c r="H48" i="4"/>
  <c r="G48" i="4"/>
  <c r="F48" i="4"/>
  <c r="K47" i="4"/>
  <c r="J47" i="4"/>
  <c r="I47" i="4"/>
  <c r="H47" i="4"/>
  <c r="G47" i="4"/>
  <c r="F47" i="4"/>
  <c r="F46" i="4"/>
  <c r="K45" i="4"/>
  <c r="G45" i="4"/>
  <c r="F45" i="4"/>
  <c r="K44" i="4"/>
  <c r="J44" i="4"/>
  <c r="I44" i="4"/>
  <c r="H44" i="4"/>
  <c r="G44" i="4"/>
  <c r="F44" i="4"/>
  <c r="K43" i="4"/>
  <c r="J43" i="4"/>
  <c r="I43" i="4"/>
  <c r="H43" i="4"/>
  <c r="G43" i="4"/>
  <c r="F43" i="4"/>
  <c r="I42" i="4"/>
  <c r="H42" i="4"/>
  <c r="G42" i="4"/>
  <c r="F42" i="4"/>
  <c r="F41" i="4"/>
  <c r="K40" i="4"/>
  <c r="J40" i="4"/>
  <c r="I40" i="4"/>
  <c r="H40" i="4"/>
  <c r="G40" i="4"/>
  <c r="F40" i="4"/>
  <c r="K39" i="4"/>
  <c r="J39" i="4"/>
  <c r="I39" i="4"/>
  <c r="H39" i="4"/>
  <c r="G39" i="4"/>
  <c r="F39" i="4"/>
  <c r="F38" i="4"/>
  <c r="F37" i="4"/>
  <c r="K37" i="4" s="1"/>
  <c r="K36" i="4"/>
  <c r="J36" i="4"/>
  <c r="I36" i="4"/>
  <c r="H36" i="4"/>
  <c r="G36" i="4"/>
  <c r="F36" i="4"/>
  <c r="K35" i="4"/>
  <c r="J35" i="4"/>
  <c r="I35" i="4"/>
  <c r="H35" i="4"/>
  <c r="G35" i="4"/>
  <c r="F35" i="4"/>
  <c r="F34" i="4"/>
  <c r="I34" i="4" s="1"/>
  <c r="K33" i="4"/>
  <c r="G33" i="4"/>
  <c r="F33" i="4"/>
  <c r="K32" i="4"/>
  <c r="J32" i="4"/>
  <c r="I32" i="4"/>
  <c r="H32" i="4"/>
  <c r="G32" i="4"/>
  <c r="F32" i="4"/>
  <c r="K31" i="4"/>
  <c r="J31" i="4"/>
  <c r="I31" i="4"/>
  <c r="H31" i="4"/>
  <c r="G31" i="4"/>
  <c r="F31" i="4"/>
  <c r="I30" i="4"/>
  <c r="H30" i="4"/>
  <c r="G30" i="4"/>
  <c r="F30" i="4"/>
  <c r="K29" i="4"/>
  <c r="G29" i="4"/>
  <c r="F29" i="4"/>
  <c r="K28" i="4"/>
  <c r="J28" i="4"/>
  <c r="I28" i="4"/>
  <c r="F28" i="4"/>
  <c r="K27" i="4"/>
  <c r="J27" i="4"/>
  <c r="I27" i="4"/>
  <c r="H27" i="4"/>
  <c r="G27" i="4"/>
  <c r="F27" i="4"/>
  <c r="J26" i="4"/>
  <c r="F26" i="4"/>
  <c r="K26" i="4" s="1"/>
  <c r="F25" i="4"/>
  <c r="F24" i="4"/>
  <c r="I24" i="4" s="1"/>
  <c r="K23" i="4"/>
  <c r="J23" i="4"/>
  <c r="I23" i="4"/>
  <c r="H23" i="4"/>
  <c r="G23" i="4"/>
  <c r="F23" i="4"/>
  <c r="F22" i="4"/>
  <c r="K22" i="4" s="1"/>
  <c r="K21" i="4"/>
  <c r="H21" i="4"/>
  <c r="G21" i="4"/>
  <c r="F21" i="4"/>
  <c r="F20" i="4"/>
  <c r="K19" i="4"/>
  <c r="J19" i="4"/>
  <c r="I19" i="4"/>
  <c r="H19" i="4"/>
  <c r="G19" i="4"/>
  <c r="F19" i="4"/>
  <c r="J18" i="4"/>
  <c r="I18" i="4"/>
  <c r="H18" i="4"/>
  <c r="G18" i="4"/>
  <c r="F18" i="4"/>
  <c r="K18" i="4" s="1"/>
  <c r="F17" i="4"/>
  <c r="K16" i="4"/>
  <c r="J16" i="4"/>
  <c r="I16" i="4"/>
  <c r="F16" i="4"/>
  <c r="K15" i="4"/>
  <c r="J15" i="4"/>
  <c r="I15" i="4"/>
  <c r="H15" i="4"/>
  <c r="G15" i="4"/>
  <c r="F15" i="4"/>
  <c r="J14" i="4"/>
  <c r="I14" i="4"/>
  <c r="H14" i="4"/>
  <c r="G14" i="4"/>
  <c r="F14" i="4"/>
  <c r="K14" i="4" s="1"/>
  <c r="K13" i="4"/>
  <c r="H13" i="4"/>
  <c r="G13" i="4"/>
  <c r="F13" i="4"/>
  <c r="K12" i="4"/>
  <c r="J12" i="4"/>
  <c r="I12" i="4"/>
  <c r="F12" i="4"/>
  <c r="K11" i="4"/>
  <c r="J11" i="4"/>
  <c r="I11" i="4"/>
  <c r="H11" i="4"/>
  <c r="G11" i="4"/>
  <c r="F11" i="4"/>
  <c r="F10" i="4"/>
  <c r="F9" i="4"/>
  <c r="F8" i="4"/>
  <c r="K7" i="4"/>
  <c r="J7" i="4"/>
  <c r="I7" i="4"/>
  <c r="H7" i="4"/>
  <c r="G7" i="4"/>
  <c r="F7" i="4"/>
  <c r="J6" i="4"/>
  <c r="I6" i="4"/>
  <c r="H6" i="4"/>
  <c r="G6" i="4"/>
  <c r="F6" i="4"/>
  <c r="F5" i="4"/>
  <c r="H5" i="4" s="1"/>
  <c r="K4" i="4"/>
  <c r="J4" i="4"/>
  <c r="I4" i="4"/>
  <c r="F4" i="4"/>
  <c r="K3" i="4"/>
  <c r="J3" i="4"/>
  <c r="I3" i="4"/>
  <c r="H3" i="4"/>
  <c r="G3" i="4"/>
  <c r="F3" i="4"/>
  <c r="F2" i="4"/>
  <c r="B113" i="2"/>
  <c r="B121" i="2"/>
  <c r="B84" i="2"/>
  <c r="B101" i="2"/>
  <c r="G41" i="3"/>
  <c r="I41" i="3" s="1"/>
  <c r="B41" i="3"/>
  <c r="A41" i="3"/>
  <c r="G40" i="3"/>
  <c r="I40" i="3" s="1"/>
  <c r="B40" i="3"/>
  <c r="A40" i="3"/>
  <c r="G39" i="3"/>
  <c r="I39" i="3" s="1"/>
  <c r="B39" i="3"/>
  <c r="A39" i="3"/>
  <c r="J38" i="3"/>
  <c r="I38" i="3"/>
  <c r="G38" i="3"/>
  <c r="B38" i="3"/>
  <c r="A38" i="3"/>
  <c r="G37" i="3"/>
  <c r="I37" i="3" s="1"/>
  <c r="B37" i="3"/>
  <c r="A37" i="3"/>
  <c r="G36" i="3"/>
  <c r="I36" i="3" s="1"/>
  <c r="B36" i="3"/>
  <c r="A36" i="3"/>
  <c r="G35" i="3"/>
  <c r="I35" i="3" s="1"/>
  <c r="B35" i="3"/>
  <c r="A35" i="3"/>
  <c r="G34" i="3"/>
  <c r="I34" i="3" s="1"/>
  <c r="B34" i="3"/>
  <c r="A34" i="3"/>
  <c r="G33" i="3"/>
  <c r="I33" i="3" s="1"/>
  <c r="B33" i="3"/>
  <c r="A33" i="3"/>
  <c r="G32" i="3"/>
  <c r="I32" i="3" s="1"/>
  <c r="B32" i="3"/>
  <c r="A32" i="3"/>
  <c r="J31" i="3"/>
  <c r="K31" i="3" s="1"/>
  <c r="B74" i="2" s="1"/>
  <c r="D74" i="2" s="1"/>
  <c r="I31" i="3"/>
  <c r="G31" i="3"/>
  <c r="B31" i="3"/>
  <c r="A31" i="3"/>
  <c r="G30" i="3"/>
  <c r="I30" i="3" s="1"/>
  <c r="B30" i="3"/>
  <c r="A30" i="3"/>
  <c r="G29" i="3"/>
  <c r="I29" i="3" s="1"/>
  <c r="B29" i="3"/>
  <c r="A29" i="3"/>
  <c r="G28" i="3"/>
  <c r="I28" i="3" s="1"/>
  <c r="J28" i="3" s="1"/>
  <c r="K28" i="3" s="1"/>
  <c r="D26" i="2" s="1"/>
  <c r="B28" i="3"/>
  <c r="A28" i="3"/>
  <c r="G27" i="3"/>
  <c r="I27" i="3" s="1"/>
  <c r="B27" i="3"/>
  <c r="A27" i="3"/>
  <c r="G26" i="3"/>
  <c r="I26" i="3" s="1"/>
  <c r="B26" i="3"/>
  <c r="A26" i="3"/>
  <c r="G25" i="3"/>
  <c r="I25" i="3" s="1"/>
  <c r="B25" i="3"/>
  <c r="A25" i="3"/>
  <c r="G24" i="3"/>
  <c r="I24" i="3" s="1"/>
  <c r="J24" i="3" s="1"/>
  <c r="K24" i="3" s="1"/>
  <c r="D41" i="2" s="1"/>
  <c r="B24" i="3"/>
  <c r="A24" i="3"/>
  <c r="G23" i="3"/>
  <c r="I23" i="3" s="1"/>
  <c r="B23" i="3"/>
  <c r="A23" i="3"/>
  <c r="G22" i="3"/>
  <c r="I22" i="3" s="1"/>
  <c r="B22" i="3"/>
  <c r="A22" i="3"/>
  <c r="G21" i="3"/>
  <c r="I21" i="3" s="1"/>
  <c r="B21" i="3"/>
  <c r="A21" i="3"/>
  <c r="J20" i="3"/>
  <c r="K20" i="3" s="1"/>
  <c r="B56" i="2" s="1"/>
  <c r="D56" i="2" s="1"/>
  <c r="I20" i="3"/>
  <c r="G20" i="3"/>
  <c r="B20" i="3"/>
  <c r="A20" i="3"/>
  <c r="G19" i="3"/>
  <c r="I19" i="3" s="1"/>
  <c r="B19" i="3"/>
  <c r="A19" i="3"/>
  <c r="G18" i="3"/>
  <c r="I18" i="3" s="1"/>
  <c r="B18" i="3"/>
  <c r="A18" i="3"/>
  <c r="G17" i="3"/>
  <c r="I17" i="3" s="1"/>
  <c r="B17" i="3"/>
  <c r="A17" i="3"/>
  <c r="G16" i="3"/>
  <c r="I16" i="3" s="1"/>
  <c r="J16" i="3" s="1"/>
  <c r="K16" i="3" s="1"/>
  <c r="B71" i="2" s="1"/>
  <c r="B16" i="3"/>
  <c r="A16" i="3"/>
  <c r="G15" i="3"/>
  <c r="I15" i="3" s="1"/>
  <c r="B15" i="3"/>
  <c r="A15" i="3"/>
  <c r="G14" i="3"/>
  <c r="I14" i="3" s="1"/>
  <c r="B14" i="3"/>
  <c r="A14" i="3"/>
  <c r="G13" i="3"/>
  <c r="I13" i="3" s="1"/>
  <c r="B13" i="3"/>
  <c r="A13" i="3"/>
  <c r="G12" i="3"/>
  <c r="I12" i="3" s="1"/>
  <c r="J12" i="3" s="1"/>
  <c r="K12" i="3" s="1"/>
  <c r="D7" i="2" s="1"/>
  <c r="B12" i="3"/>
  <c r="A12" i="3"/>
  <c r="G11" i="3"/>
  <c r="I11" i="3" s="1"/>
  <c r="B11" i="3"/>
  <c r="A11" i="3"/>
  <c r="G10" i="3"/>
  <c r="I10" i="3" s="1"/>
  <c r="B10" i="3"/>
  <c r="A10" i="3"/>
  <c r="G9" i="3"/>
  <c r="I9" i="3" s="1"/>
  <c r="B9" i="3"/>
  <c r="A9" i="3"/>
  <c r="G8" i="3"/>
  <c r="I8" i="3" s="1"/>
  <c r="J8" i="3" s="1"/>
  <c r="K8" i="3" s="1"/>
  <c r="D21" i="2" s="1"/>
  <c r="B8" i="3"/>
  <c r="A8" i="3"/>
  <c r="G7" i="3"/>
  <c r="I7" i="3" s="1"/>
  <c r="B7" i="3"/>
  <c r="A7" i="3"/>
  <c r="G6" i="3"/>
  <c r="I6" i="3" s="1"/>
  <c r="B6" i="3"/>
  <c r="A6" i="3"/>
  <c r="G5" i="3"/>
  <c r="I5" i="3" s="1"/>
  <c r="B5" i="3"/>
  <c r="A5" i="3"/>
  <c r="J4" i="3"/>
  <c r="K4" i="3" s="1"/>
  <c r="D36" i="2" s="1"/>
  <c r="B36" i="2" s="1"/>
  <c r="J5" i="2" s="1"/>
  <c r="I4" i="3"/>
  <c r="G4" i="3"/>
  <c r="B4" i="3"/>
  <c r="A4" i="3"/>
  <c r="G3" i="3"/>
  <c r="I3" i="3" s="1"/>
  <c r="B3" i="3"/>
  <c r="A3" i="3"/>
  <c r="G2" i="3"/>
  <c r="I2" i="3" s="1"/>
  <c r="B2" i="3"/>
  <c r="A2" i="3"/>
  <c r="B225" i="2"/>
  <c r="B218" i="2"/>
  <c r="A218" i="2"/>
  <c r="B217" i="2"/>
  <c r="A217" i="2"/>
  <c r="B216" i="2"/>
  <c r="A216" i="2"/>
  <c r="B215" i="2"/>
  <c r="A215" i="2"/>
  <c r="B211" i="2"/>
  <c r="B210" i="2"/>
  <c r="B209" i="2"/>
  <c r="B208" i="2"/>
  <c r="B206" i="2"/>
  <c r="B205" i="2"/>
  <c r="B204" i="2"/>
  <c r="B203" i="2"/>
  <c r="B202" i="2"/>
  <c r="B201" i="2"/>
  <c r="B200" i="2"/>
  <c r="C200" i="2" s="1"/>
  <c r="B199" i="2"/>
  <c r="C199" i="2" s="1"/>
  <c r="B197" i="2"/>
  <c r="C197" i="2" s="1"/>
  <c r="B196" i="2"/>
  <c r="C196" i="2" s="1"/>
  <c r="B195" i="2"/>
  <c r="C195" i="2" s="1"/>
  <c r="C194" i="2"/>
  <c r="B194" i="2"/>
  <c r="B193" i="2"/>
  <c r="C193" i="2" s="1"/>
  <c r="B192" i="2"/>
  <c r="C192" i="2" s="1"/>
  <c r="B191" i="2"/>
  <c r="C191" i="2" s="1"/>
  <c r="C190" i="2"/>
  <c r="B190" i="2"/>
  <c r="E189" i="2"/>
  <c r="C189" i="2"/>
  <c r="B189" i="2"/>
  <c r="B188" i="2"/>
  <c r="C188" i="2" s="1"/>
  <c r="B185" i="2"/>
  <c r="B184" i="2"/>
  <c r="B181" i="2"/>
  <c r="B180" i="2"/>
  <c r="B179" i="2"/>
  <c r="B176" i="2"/>
  <c r="B175" i="2"/>
  <c r="B174" i="2"/>
  <c r="B171" i="2"/>
  <c r="B170" i="2"/>
  <c r="B167" i="2"/>
  <c r="B163" i="2"/>
  <c r="B162" i="2"/>
  <c r="B161" i="2"/>
  <c r="B166" i="2" s="1"/>
  <c r="B158" i="2"/>
  <c r="B157" i="2"/>
  <c r="B156" i="2"/>
  <c r="B153" i="2"/>
  <c r="B152" i="2"/>
  <c r="B151" i="2"/>
  <c r="B150" i="2"/>
  <c r="B140" i="2"/>
  <c r="B139" i="2"/>
  <c r="B138" i="2"/>
  <c r="B137" i="2"/>
  <c r="B134" i="2"/>
  <c r="B133" i="2"/>
  <c r="B132" i="2"/>
  <c r="B131" i="2"/>
  <c r="B94" i="2"/>
  <c r="B86" i="2"/>
  <c r="A1" i="2"/>
  <c r="K41" i="3" l="1"/>
  <c r="B77" i="2" s="1"/>
  <c r="D77" i="2" s="1"/>
  <c r="J41" i="3"/>
  <c r="F36" i="2"/>
  <c r="J32" i="3"/>
  <c r="K32" i="3" s="1"/>
  <c r="D12" i="2" s="1"/>
  <c r="J39" i="3"/>
  <c r="K39" i="3" s="1"/>
  <c r="D45" i="2" s="1"/>
  <c r="J25" i="4"/>
  <c r="I25" i="4"/>
  <c r="K25" i="4"/>
  <c r="H25" i="4"/>
  <c r="G25" i="4"/>
  <c r="J3" i="3"/>
  <c r="K3" i="3" s="1"/>
  <c r="D20" i="2" s="1"/>
  <c r="J10" i="3"/>
  <c r="K10" i="3" s="1"/>
  <c r="B53" i="2" s="1"/>
  <c r="D53" i="2" s="1"/>
  <c r="F7" i="2"/>
  <c r="B7" i="2"/>
  <c r="J26" i="3"/>
  <c r="K26" i="3" s="1"/>
  <c r="B73" i="2" s="1"/>
  <c r="D73" i="2" s="1"/>
  <c r="F26" i="2"/>
  <c r="B26" i="2"/>
  <c r="K35" i="3"/>
  <c r="B60" i="2" s="1"/>
  <c r="D60" i="2" s="1"/>
  <c r="J35" i="3"/>
  <c r="B119" i="2"/>
  <c r="B103" i="2"/>
  <c r="J14" i="3"/>
  <c r="K14" i="3" s="1"/>
  <c r="D39" i="2" s="1"/>
  <c r="J37" i="3"/>
  <c r="K37" i="3" s="1"/>
  <c r="D13" i="2" s="1"/>
  <c r="J15" i="3"/>
  <c r="K15" i="3"/>
  <c r="B55" i="2" s="1"/>
  <c r="D55" i="2" s="1"/>
  <c r="J17" i="3"/>
  <c r="K17" i="3" s="1"/>
  <c r="D8" i="2" s="1"/>
  <c r="J40" i="3"/>
  <c r="K40" i="3" s="1"/>
  <c r="B61" i="2" s="1"/>
  <c r="D61" i="2" s="1"/>
  <c r="J5" i="3"/>
  <c r="K5" i="3" s="1"/>
  <c r="B52" i="2" s="1"/>
  <c r="J19" i="3"/>
  <c r="K19" i="3" s="1"/>
  <c r="D40" i="2" s="1"/>
  <c r="J21" i="3"/>
  <c r="K21" i="3" s="1"/>
  <c r="B72" i="2" s="1"/>
  <c r="D72" i="2" s="1"/>
  <c r="K10" i="4"/>
  <c r="J10" i="4"/>
  <c r="I10" i="4"/>
  <c r="H10" i="4"/>
  <c r="G10" i="4"/>
  <c r="J6" i="3"/>
  <c r="K6" i="3"/>
  <c r="B68" i="2" s="1"/>
  <c r="J22" i="3"/>
  <c r="K22" i="3"/>
  <c r="D9" i="2" s="1"/>
  <c r="F41" i="2"/>
  <c r="B41" i="2"/>
  <c r="B95" i="2"/>
  <c r="J30" i="3"/>
  <c r="K30" i="3" s="1"/>
  <c r="B58" i="2" s="1"/>
  <c r="D58" i="2" s="1"/>
  <c r="B21" i="2"/>
  <c r="F21" i="2"/>
  <c r="J11" i="3"/>
  <c r="K11" i="3" s="1"/>
  <c r="B69" i="2" s="1"/>
  <c r="D69" i="2" s="1"/>
  <c r="J13" i="3"/>
  <c r="K13" i="3" s="1"/>
  <c r="D23" i="2" s="1"/>
  <c r="J27" i="3"/>
  <c r="K27" i="3" s="1"/>
  <c r="D10" i="2" s="1"/>
  <c r="J36" i="3"/>
  <c r="K36" i="3" s="1"/>
  <c r="B76" i="2" s="1"/>
  <c r="D76" i="2" s="1"/>
  <c r="K2" i="3"/>
  <c r="D4" i="2" s="1"/>
  <c r="B112" i="2"/>
  <c r="I71" i="2"/>
  <c r="D71" i="2"/>
  <c r="J18" i="3"/>
  <c r="K18" i="3"/>
  <c r="D24" i="2" s="1"/>
  <c r="J7" i="3"/>
  <c r="K7" i="3" s="1"/>
  <c r="D5" i="2" s="1"/>
  <c r="J9" i="3"/>
  <c r="K9" i="3" s="1"/>
  <c r="D37" i="2" s="1"/>
  <c r="J23" i="3"/>
  <c r="K23" i="3" s="1"/>
  <c r="D25" i="2" s="1"/>
  <c r="J25" i="3"/>
  <c r="K25" i="3" s="1"/>
  <c r="B57" i="2" s="1"/>
  <c r="D57" i="2" s="1"/>
  <c r="J34" i="3"/>
  <c r="K34" i="3" s="1"/>
  <c r="D44" i="2" s="1"/>
  <c r="B92" i="2"/>
  <c r="B120" i="2"/>
  <c r="B104" i="2"/>
  <c r="B122" i="2"/>
  <c r="H8" i="4"/>
  <c r="G8" i="4"/>
  <c r="I8" i="4"/>
  <c r="K8" i="4"/>
  <c r="J8" i="4"/>
  <c r="K54" i="4"/>
  <c r="J54" i="4"/>
  <c r="H20" i="4"/>
  <c r="G20" i="4"/>
  <c r="J17" i="4"/>
  <c r="I17" i="4"/>
  <c r="I20" i="4"/>
  <c r="G66" i="4"/>
  <c r="J57" i="4"/>
  <c r="I57" i="4"/>
  <c r="H57" i="4"/>
  <c r="B102" i="2"/>
  <c r="B85" i="2"/>
  <c r="K2" i="4"/>
  <c r="G5" i="4"/>
  <c r="G22" i="4"/>
  <c r="G34" i="4"/>
  <c r="G37" i="4"/>
  <c r="K46" i="4"/>
  <c r="J46" i="4"/>
  <c r="J49" i="4"/>
  <c r="I49" i="4"/>
  <c r="H49" i="4"/>
  <c r="H54" i="4"/>
  <c r="K57" i="4"/>
  <c r="J33" i="3"/>
  <c r="K33" i="3" s="1"/>
  <c r="D28" i="2" s="1"/>
  <c r="G2" i="4"/>
  <c r="H12" i="4"/>
  <c r="G12" i="4"/>
  <c r="G17" i="4"/>
  <c r="J20" i="4"/>
  <c r="H22" i="4"/>
  <c r="J29" i="4"/>
  <c r="I29" i="4"/>
  <c r="H29" i="4"/>
  <c r="H34" i="4"/>
  <c r="G46" i="4"/>
  <c r="G49" i="4"/>
  <c r="I54" i="4"/>
  <c r="K58" i="4"/>
  <c r="J58" i="4"/>
  <c r="J61" i="4"/>
  <c r="I61" i="4"/>
  <c r="H61" i="4"/>
  <c r="H66" i="4"/>
  <c r="J9" i="4"/>
  <c r="I9" i="4"/>
  <c r="I22" i="4"/>
  <c r="K38" i="4"/>
  <c r="J38" i="4"/>
  <c r="J41" i="4"/>
  <c r="I41" i="4"/>
  <c r="H41" i="4"/>
  <c r="H46" i="4"/>
  <c r="K49" i="4"/>
  <c r="J29" i="3"/>
  <c r="K29" i="3" s="1"/>
  <c r="D42" i="2" s="1"/>
  <c r="B110" i="2"/>
  <c r="B93" i="2"/>
  <c r="I2" i="4"/>
  <c r="H4" i="4"/>
  <c r="G4" i="4"/>
  <c r="K6" i="4"/>
  <c r="G9" i="4"/>
  <c r="K17" i="4"/>
  <c r="J21" i="4"/>
  <c r="I21" i="4"/>
  <c r="J22" i="4"/>
  <c r="G26" i="4"/>
  <c r="G38" i="4"/>
  <c r="G41" i="4"/>
  <c r="I46" i="4"/>
  <c r="K50" i="4"/>
  <c r="J50" i="4"/>
  <c r="J53" i="4"/>
  <c r="I53" i="4"/>
  <c r="H53" i="4"/>
  <c r="H58" i="4"/>
  <c r="K61" i="4"/>
  <c r="J5" i="4"/>
  <c r="I5" i="4"/>
  <c r="J37" i="4"/>
  <c r="I37" i="4"/>
  <c r="H37" i="4"/>
  <c r="H2" i="4"/>
  <c r="K5" i="4"/>
  <c r="H17" i="4"/>
  <c r="K20" i="4"/>
  <c r="H24" i="4"/>
  <c r="G24" i="4"/>
  <c r="B198" i="2"/>
  <c r="C198" i="2" s="1"/>
  <c r="B212" i="2"/>
  <c r="K38" i="3"/>
  <c r="D29" i="2" s="1"/>
  <c r="B111" i="2"/>
  <c r="J2" i="4"/>
  <c r="H9" i="4"/>
  <c r="H16" i="4"/>
  <c r="G16" i="4"/>
  <c r="J24" i="4"/>
  <c r="H26" i="4"/>
  <c r="K30" i="4"/>
  <c r="J30" i="4"/>
  <c r="J33" i="4"/>
  <c r="I33" i="4"/>
  <c r="H33" i="4"/>
  <c r="H38" i="4"/>
  <c r="K41" i="4"/>
  <c r="K62" i="4"/>
  <c r="J62" i="4"/>
  <c r="J65" i="4"/>
  <c r="I65" i="4"/>
  <c r="H65" i="4"/>
  <c r="K34" i="4"/>
  <c r="J34" i="4"/>
  <c r="G54" i="4"/>
  <c r="K66" i="4"/>
  <c r="J66" i="4"/>
  <c r="B83" i="2"/>
  <c r="K9" i="4"/>
  <c r="J13" i="4"/>
  <c r="I13" i="4"/>
  <c r="K24" i="4"/>
  <c r="I26" i="4"/>
  <c r="H28" i="4"/>
  <c r="G28" i="4"/>
  <c r="I38" i="4"/>
  <c r="K42" i="4"/>
  <c r="J42" i="4"/>
  <c r="J45" i="4"/>
  <c r="I45" i="4"/>
  <c r="H45" i="4"/>
  <c r="B8" i="2" l="1"/>
  <c r="F8" i="2"/>
  <c r="F44" i="2"/>
  <c r="B44" i="2"/>
  <c r="F42" i="2"/>
  <c r="B42" i="2"/>
  <c r="F25" i="2"/>
  <c r="B25" i="2"/>
  <c r="F13" i="2"/>
  <c r="B13" i="2"/>
  <c r="B37" i="2"/>
  <c r="F37" i="2"/>
  <c r="F4" i="2"/>
  <c r="B4" i="2"/>
  <c r="J3" i="2" s="1"/>
  <c r="B40" i="2"/>
  <c r="F40" i="2"/>
  <c r="B20" i="2"/>
  <c r="J4" i="2" s="1"/>
  <c r="F20" i="2"/>
  <c r="B5" i="2"/>
  <c r="F5" i="2"/>
  <c r="D52" i="2"/>
  <c r="J6" i="2"/>
  <c r="F10" i="2"/>
  <c r="B10" i="2"/>
  <c r="F45" i="2"/>
  <c r="B45" i="2"/>
  <c r="F23" i="2"/>
  <c r="B23" i="2"/>
  <c r="F12" i="2"/>
  <c r="B12" i="2"/>
  <c r="B24" i="2"/>
  <c r="F24" i="2"/>
  <c r="F29" i="2"/>
  <c r="B29" i="2"/>
  <c r="F9" i="2"/>
  <c r="B9" i="2"/>
  <c r="D68" i="2"/>
  <c r="J7" i="2"/>
  <c r="F28" i="2"/>
  <c r="B28" i="2"/>
  <c r="B39" i="2"/>
  <c r="F3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22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ID#AAAALPPi_0c
Alambres Norte Salta    (2020-12-29 21:07:55)
Ingresar la cantidad de km a recorrer.
https://www.google.com.ar/maps/dir/Av.+Democracia,+Salta/Terminal+De+Omnibus+de+Salta,+Avenida+Hip%C3%B3lito+Yrigoyen,+Salta/@-24.7594255,-65.4425176,13z/data=!3m1!4b1!4m13!4m12!1m5!1m1!1s0x941bc1065c65cdc5:0xeedbe26ebab9907c!2m2!1d-65.4177921!2d-24.7235796!1m5!1m1!1s0x941bc39c2d17a0ff:0x29485b2452663942!2m2!1d-65.3979159!2d-24.7957392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OPTCkPwxJWtGXKP/jk1IGPT86h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7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ID#AAABq6BlbUc
Alambres Norte Salta    (2025-09-08 20:19:25)
50 mtl como minimo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MCyLreXHICUi79PWvA4GxMjB93Q=="/>
    </ext>
  </extLst>
</comments>
</file>

<file path=xl/sharedStrings.xml><?xml version="1.0" encoding="utf-8"?>
<sst xmlns="http://schemas.openxmlformats.org/spreadsheetml/2006/main" count="473" uniqueCount="174">
  <si>
    <t>OFERTAS EN EFECTIVO - TEJIDO ROMBOIDAL</t>
  </si>
  <si>
    <t>*Rollo x 10mts. Tejido romb. x 2,00 mt*</t>
  </si>
  <si>
    <t>*CALIDAD ECONOMICA*</t>
  </si>
  <si>
    <t>Tejido Romboidal de 2 mt Alto Calibre Nº 14 con rombos de 3 1/2"</t>
  </si>
  <si>
    <t>-Cal 14 c/rombos de 3 ½''</t>
  </si>
  <si>
    <t>(Contado)</t>
  </si>
  <si>
    <t>(Lista)</t>
  </si>
  <si>
    <t>(Tarjeta)</t>
  </si>
  <si>
    <t>Tejido Romboidal de 1.8 mt Alto Calibre Nº 14 con rombos de 3 1/2"</t>
  </si>
  <si>
    <t xml:space="preserve">-Cal 14 c/rombos de 3'' </t>
  </si>
  <si>
    <t>Tejido Romboidal de 1.5 mt Alto Calibre Nº 14 con rombos de 3 1/2"</t>
  </si>
  <si>
    <t>*CALIDAD STANDARD*</t>
  </si>
  <si>
    <t>Tejido Romboidal de 1.2 mt Alto Calibre Nº 14 con rombos de 3 1/2"</t>
  </si>
  <si>
    <t>-Cal 14 c/rombos de 2 ½"</t>
  </si>
  <si>
    <t>Tejido Romboidal de 1 mt Alto Calibre Nº 14 con rombos de 3 1/2"</t>
  </si>
  <si>
    <t xml:space="preserve">-Cal 14 c/rombos de 2'' </t>
  </si>
  <si>
    <t>-Cal 12 c/rombos de 3 ½''</t>
  </si>
  <si>
    <t xml:space="preserve">-Cal 12 c/rombos de 3'' </t>
  </si>
  <si>
    <t>*CALIDAD REFORZADA*</t>
  </si>
  <si>
    <t>-Cal 12 c/rombos de 2 ½"</t>
  </si>
  <si>
    <t xml:space="preserve">-Cal 12 c/rombos de 2'' </t>
  </si>
  <si>
    <t>La resistencia del rollo está sujeta al calibre del alambre y el tamaño del rombo</t>
  </si>
  <si>
    <t>*Rollo x 10mts. Tejido romb. x 1,80 mt*</t>
  </si>
  <si>
    <t xml:space="preserve"> </t>
  </si>
  <si>
    <t>*Rollo x 10mts. Tejido romb. x 1,50 mt*</t>
  </si>
  <si>
    <t xml:space="preserve">-Cal 14 c/rombos de 2 ½"   </t>
  </si>
  <si>
    <t>*Rollo x 10mts. Tejido romb. x 1,20 mt*</t>
  </si>
  <si>
    <t>*Rollo x 10mts. Tejido romb. x 1,00 mt*</t>
  </si>
  <si>
    <t>El rollo por 10mts. de alambre tejido romboidal de 2,00mts. de altura tiene un valor de:</t>
  </si>
  <si>
    <t xml:space="preserve">-Calibre N°13 con rombos de 3 ½'' </t>
  </si>
  <si>
    <t xml:space="preserve">-Calibre N°13 con rombos de 3''          </t>
  </si>
  <si>
    <t xml:space="preserve">-Calibre N°13 con rombos de 2 ½         </t>
  </si>
  <si>
    <t xml:space="preserve">-Calibre N°13 con rombos de 2''          </t>
  </si>
  <si>
    <t>El rollo por 10mts. de alambre tejido romboidal de 1,80mts. de altura tiene un valor de:</t>
  </si>
  <si>
    <t>El rollo por 10mts. de alambre tejido romboidal de 1,50mts. de altura tiene un valor de:</t>
  </si>
  <si>
    <t>El rollo por 10mts. de alambre tejido romboidal de 1,20mts. de altura tiene un valor de:</t>
  </si>
  <si>
    <t>El rollo por 10mts. de alambre tejido romboidal de 1,00mts. de altura tiene un valor de:</t>
  </si>
  <si>
    <t>Postes de Hormigón 3,50 mts. de altura con ménsula (P/ alambrado de 2,00mts.)</t>
  </si>
  <si>
    <t xml:space="preserve">-Postes Esquineros         </t>
  </si>
  <si>
    <t xml:space="preserve">-Postes Refuerzo        </t>
  </si>
  <si>
    <t>-Postes Intermedios</t>
  </si>
  <si>
    <t xml:space="preserve">-Puntales                        </t>
  </si>
  <si>
    <t>Postes de Hormigón 3,05 mts. de altura con ménsula (P/ alambrado de 1,80mts. y 2 mts)</t>
  </si>
  <si>
    <t xml:space="preserve">-Postes Intermedios </t>
  </si>
  <si>
    <t xml:space="preserve">-Puntales                 </t>
  </si>
  <si>
    <t>Postes de Hormigón 2,50 mts. de altura con ménsula (P/ alambrado de 1,80mts. y 2 mts)</t>
  </si>
  <si>
    <t>Postes de Hormigón 2,50 mts. de altura con ménsula (P/ alambrado de 1,50/1,80mts.)</t>
  </si>
  <si>
    <t>Postes de Hormigón 3,05 mts. de altura con punta de diamante (P/ alambrado de 1.8/2mts.)</t>
  </si>
  <si>
    <t>Postes de Hormigón 2,40 mts. de altura con punta de diamante (P/ alambrado de 1,50mts.)</t>
  </si>
  <si>
    <t>Postes de Hormigón 2,00 mts. de altura con punta de diamante (P/ alambrado de 1,00/1,20mts.)</t>
  </si>
  <si>
    <t>Postes de Madera de Eucalipto 3,50 mts. de altura (P/ alambrado de 2,00mts.)</t>
  </si>
  <si>
    <t xml:space="preserve">-Postes         </t>
  </si>
  <si>
    <t xml:space="preserve">-Puntales </t>
  </si>
  <si>
    <t>Postes de Madera de Eucalipto 3,00 mts. de altura (P/ alambrado de 1,80mts.)</t>
  </si>
  <si>
    <t xml:space="preserve">-Postes Esquineros        </t>
  </si>
  <si>
    <t>Postes de Madera de Eucalipto 2,50 mts. de altura (P/ alambrado de 1,50mts.)</t>
  </si>
  <si>
    <t>Postes de Madera de Eucalipto 2,00 mts. de altura (P/ alambrado de 1,00/1,20mts.)</t>
  </si>
  <si>
    <t>Accesorios</t>
  </si>
  <si>
    <t>20%  MAS</t>
  </si>
  <si>
    <t xml:space="preserve">Torniquete TV o Mini Zincado                    </t>
  </si>
  <si>
    <t xml:space="preserve">Planchuela 7/8 x 3/16'' x 6mts                     </t>
  </si>
  <si>
    <t xml:space="preserve">Planchuela 7/8 x 3/16'' x 1.5mts / 1.8mt / 2mt                     </t>
  </si>
  <si>
    <t>Gancho Galv. c/ Arand. y Tuerca 3/8'' x 10''</t>
  </si>
  <si>
    <t>Gancho Galv. c/ Arand. y Tuerca 3/8'' x 8''</t>
  </si>
  <si>
    <t>Gancho Galv. c/ Arand. y Tuerca 3/8'' x 7"</t>
  </si>
  <si>
    <t xml:space="preserve">Esparragos Galvanizados de 3/8" x 10" </t>
  </si>
  <si>
    <t xml:space="preserve">Alambre Liso de Alta Resist. 16/14 x 1 mt     </t>
  </si>
  <si>
    <t>Alambre de Púas x rollo de 100mts</t>
  </si>
  <si>
    <t>Alambre de Púas x rollo de 500mts</t>
  </si>
  <si>
    <t xml:space="preserve">Alambre de Púas por metro                        </t>
  </si>
  <si>
    <t>Alambre Negro 14</t>
  </si>
  <si>
    <t>Alambre Negro 16</t>
  </si>
  <si>
    <t>Clavos punta paris 2 1/2"</t>
  </si>
  <si>
    <t>Arena</t>
  </si>
  <si>
    <t>Ripio</t>
  </si>
  <si>
    <t>Cemento, bolsa 50 kg</t>
  </si>
  <si>
    <t>Travillas Cebil 1.4mt x 12 un</t>
  </si>
  <si>
    <t>Mano de obra x mt s/cordon</t>
  </si>
  <si>
    <t>Mano de obra x mt c/cordon</t>
  </si>
  <si>
    <t>Transporte x 7 Postes</t>
  </si>
  <si>
    <t>Alambre galvanizado Calibre 20</t>
  </si>
  <si>
    <t>Hierro liso 8 mm</t>
  </si>
  <si>
    <t>Hierro Torsionado 8 mm</t>
  </si>
  <si>
    <t>Transporte por mt lineal</t>
  </si>
  <si>
    <t>Mallas</t>
  </si>
  <si>
    <t>sin stok</t>
  </si>
  <si>
    <t>Fletes</t>
  </si>
  <si>
    <t>Cantidad de kilometros de Ida y Vuelta</t>
  </si>
  <si>
    <t>Km x Litro</t>
  </si>
  <si>
    <t>Precio del Diesel Premium</t>
  </si>
  <si>
    <t>Precio total del Flete + $100</t>
  </si>
  <si>
    <t>Codigo</t>
  </si>
  <si>
    <t>Descripcion</t>
  </si>
  <si>
    <t>Calibre''</t>
  </si>
  <si>
    <t>Separacion''</t>
  </si>
  <si>
    <t>Altura mt</t>
  </si>
  <si>
    <t>Peso por rollo(kg)</t>
  </si>
  <si>
    <t>Precio por kg</t>
  </si>
  <si>
    <t>Mano de obra</t>
  </si>
  <si>
    <t>Precio de costo</t>
  </si>
  <si>
    <t>Precio Venta +</t>
  </si>
  <si>
    <t>Elemento</t>
  </si>
  <si>
    <t>Unidad</t>
  </si>
  <si>
    <t>Dimensiones</t>
  </si>
  <si>
    <t>Cantidad Estandar</t>
  </si>
  <si>
    <t>Precio Costo(neto + impuestos)</t>
  </si>
  <si>
    <t>Precio Efectivo/Transf.</t>
  </si>
  <si>
    <t>Precio Tarjeta</t>
  </si>
  <si>
    <t>cheq 45 dias</t>
  </si>
  <si>
    <t>cheq 60 dias</t>
  </si>
  <si>
    <t>cheq 90 dias</t>
  </si>
  <si>
    <t>Alambre Galvanizado Calibre 12</t>
  </si>
  <si>
    <t>kg</t>
  </si>
  <si>
    <t>12'</t>
  </si>
  <si>
    <t>Alambre Galvanizado Calibre 13</t>
  </si>
  <si>
    <t>14'</t>
  </si>
  <si>
    <t>Alambre Galvanizado Calibre 14</t>
  </si>
  <si>
    <t>Varilla roscada</t>
  </si>
  <si>
    <t>u</t>
  </si>
  <si>
    <t>3/8"</t>
  </si>
  <si>
    <t>Planchuela 7/8 x 3/16"</t>
  </si>
  <si>
    <t>mts</t>
  </si>
  <si>
    <t>7/8 x 3/16</t>
  </si>
  <si>
    <t>Planchuela 7/8 x 3/16" 2mt</t>
  </si>
  <si>
    <t>Torniqueta Galvanizada Micro</t>
  </si>
  <si>
    <t>-</t>
  </si>
  <si>
    <t>Torniqueta Galvanizada Mini N 5</t>
  </si>
  <si>
    <t>Torniqueta Galvanizada N 7</t>
  </si>
  <si>
    <t>Ganchos Galvanizados 3/8" x 10"</t>
  </si>
  <si>
    <t>Ganchos Galvanizados 3/8" x 8''</t>
  </si>
  <si>
    <t>Ganchos Galvanizados 3/8" x 7''</t>
  </si>
  <si>
    <t>Esparragos Galvanizados de 3/8" x 10"</t>
  </si>
  <si>
    <t>Alambre de Púas x mt</t>
  </si>
  <si>
    <t>Alambre Acindar A/R</t>
  </si>
  <si>
    <t>17/15</t>
  </si>
  <si>
    <t>16/14</t>
  </si>
  <si>
    <t>Alambre Negro 8</t>
  </si>
  <si>
    <t>Rollo C14 2 mt x 15mtx x 2 1/2"</t>
  </si>
  <si>
    <t>Rollo C14 2 mt x 10mtx x 2 1/2"</t>
  </si>
  <si>
    <t>Rollo C14 2 mt x 15mtx x 2 "</t>
  </si>
  <si>
    <t>Rollo C14 2 mt x 10mtx x 2 "</t>
  </si>
  <si>
    <t>Rollo C14 1,8mt x 15mts x 2 1/2"</t>
  </si>
  <si>
    <t>Rollo C14 1,8mt x 10mts x 2 1/2"</t>
  </si>
  <si>
    <t>Rollo C14 1,8mt x 15mts x 2"</t>
  </si>
  <si>
    <t>Rollo C14 1,8mt x 10mts x 2"</t>
  </si>
  <si>
    <t>Rollo C14 1,5mt x 15mts x 2 1/2"</t>
  </si>
  <si>
    <t>Rollo C14 1,5mt x 10mts x 2 1/2"</t>
  </si>
  <si>
    <t>Rollo C14 1,5mt x 15mts x 3"</t>
  </si>
  <si>
    <t>Rollo C14 1,5mt x 10mts x 3"</t>
  </si>
  <si>
    <t>Rollo C12 1,8mt x 10mts x 2 "</t>
  </si>
  <si>
    <t>Rollo C12 1,8mt x 10mts x 2 1/2 "</t>
  </si>
  <si>
    <t>Rollo C12 2mt x 10mts x 2 1/2 "</t>
  </si>
  <si>
    <t>Rollo C12 2mt x 10mts x 2"</t>
  </si>
  <si>
    <t>m3</t>
  </si>
  <si>
    <t>un</t>
  </si>
  <si>
    <t>Transporte x mtl</t>
  </si>
  <si>
    <t>mt</t>
  </si>
  <si>
    <t>Hierro Torsionado 6 mm</t>
  </si>
  <si>
    <t>Hierro Torsionado10 mm</t>
  </si>
  <si>
    <t>Electrodo 2.5 mm</t>
  </si>
  <si>
    <t>Disco corte amoladora chica 4 1.8"</t>
  </si>
  <si>
    <t>Barra de Hierro Ø 6 mm</t>
  </si>
  <si>
    <t>Barra de Hierro Ø 10 mm</t>
  </si>
  <si>
    <t>Barra de Hierro Ø 12 mm</t>
  </si>
  <si>
    <t>Concertinas 45cm x 10mt</t>
  </si>
  <si>
    <t>Concertinas 30cm x 10 mt</t>
  </si>
  <si>
    <t>Planchuela 1" x 3/16"</t>
  </si>
  <si>
    <t>Planchuela 1" x 3/16" 2mt</t>
  </si>
  <si>
    <t>Tubo Cuadrado LAF 100x100x1.6 - 6m</t>
  </si>
  <si>
    <t>Tubo Cuadrado LAF 12x12x1,2 - 6m</t>
  </si>
  <si>
    <t>Tubo Cuadrado LAF 15x15x1.2 - 6m</t>
  </si>
  <si>
    <t>Tubo Cuadrado LAF 15x15x1.6 - 6m</t>
  </si>
  <si>
    <t>Precio Venta (Lista)</t>
  </si>
  <si>
    <t>Precio de la competencia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</si>
</sst>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-&quot;$&quot;\ * #,##0.00_-;\-&quot;$&quot;\ * #,##0.00_-;_-&quot;$&quot;\ * &quot;-&quot;??_-;_-@"/>
    <numFmt numFmtId="165" formatCode="_-&quot;$&quot;\ * #,##0_-;\-&quot;$&quot;\ * #,##0_-;_-&quot;$&quot;\ * &quot;-&quot;??_-;_-@"/>
    <numFmt numFmtId="166" formatCode="&quot;$&quot;#,##0.00"/>
    <numFmt numFmtId="167" formatCode="&quot;$&quot;#,##0"/>
    <numFmt numFmtId="168" formatCode="_-[$$-2C0A]\ * #,##0.00_-;\-[$$-2C0A]\ * #,##0.00_-;_-[$$-2C0A]\ * &quot;-&quot;??_-;_-@"/>
    <numFmt numFmtId="169" formatCode="0.0"/>
    <numFmt numFmtId="170" formatCode="\$#,##0.00"/>
  </numFmts>
  <fonts count="12">
    <font>
      <sz val="11"/>
      <color theme="1"/>
      <name val="Calibri"/>
      <scheme val="minor"/>
    </font>
    <font>
      <b/>
      <sz val="12"/>
      <color rgb="FFFFFFFF"/>
      <name val="Arial"/>
    </font>
    <font>
      <sz val="11"/>
      <color rgb="FFFFFFFF"/>
      <name val="Arial"/>
    </font>
    <font>
      <sz val="11"/>
      <color theme="1"/>
      <name val="Arial"/>
    </font>
    <font>
      <sz val="11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2"/>
      <color rgb="FF000000"/>
      <name val="Arial"/>
    </font>
    <font>
      <b/>
      <sz val="11"/>
      <color rgb="FFFFFFFF"/>
      <name val="Calibri"/>
    </font>
    <font>
      <sz val="11"/>
      <color rgb="FF00000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95B3D7"/>
        <bgColor rgb="FF95B3D7"/>
      </patternFill>
    </fill>
    <fill>
      <patternFill patternType="solid">
        <fgColor rgb="FFC2D69B"/>
        <bgColor rgb="FFC2D69B"/>
      </patternFill>
    </fill>
    <fill>
      <patternFill patternType="solid">
        <fgColor rgb="FFF6B26B"/>
        <bgColor rgb="FFF6B26B"/>
      </patternFill>
    </fill>
    <fill>
      <patternFill patternType="solid">
        <fgColor rgb="FFF2F2F2"/>
        <bgColor rgb="FFF2F2F2"/>
      </patternFill>
    </fill>
    <fill>
      <patternFill patternType="solid">
        <fgColor rgb="FFDBE5F1"/>
        <bgColor rgb="FFDBE5F1"/>
      </patternFill>
    </fill>
    <fill>
      <patternFill patternType="solid">
        <fgColor rgb="FFD6E3BC"/>
        <bgColor rgb="FFD6E3BC"/>
      </patternFill>
    </fill>
    <fill>
      <patternFill patternType="solid">
        <fgColor rgb="FFD0CECE"/>
        <bgColor rgb="FFD0CECE"/>
      </patternFill>
    </fill>
    <fill>
      <patternFill patternType="solid">
        <fgColor rgb="FFFF0000"/>
        <bgColor rgb="FFFF0000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 wrapText="1"/>
    </xf>
    <xf numFmtId="0" fontId="3" fillId="0" borderId="0" xfId="0" applyFont="1"/>
    <xf numFmtId="0" fontId="6" fillId="0" borderId="4" xfId="0" applyFont="1" applyBorder="1"/>
    <xf numFmtId="0" fontId="6" fillId="0" borderId="0" xfId="0" applyFont="1"/>
    <xf numFmtId="0" fontId="1" fillId="0" borderId="0" xfId="0" applyFont="1" applyAlignment="1">
      <alignment horizontal="left" vertical="center" wrapText="1"/>
    </xf>
    <xf numFmtId="14" fontId="9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6" fillId="4" borderId="1" xfId="0" applyFont="1" applyFill="1" applyBorder="1"/>
    <xf numFmtId="164" fontId="6" fillId="4" borderId="1" xfId="0" applyNumberFormat="1" applyFont="1" applyFill="1" applyBorder="1"/>
    <xf numFmtId="165" fontId="6" fillId="4" borderId="1" xfId="0" applyNumberFormat="1" applyFont="1" applyFill="1" applyBorder="1"/>
    <xf numFmtId="166" fontId="6" fillId="5" borderId="1" xfId="0" applyNumberFormat="1" applyFont="1" applyFill="1" applyBorder="1"/>
    <xf numFmtId="167" fontId="6" fillId="5" borderId="1" xfId="0" applyNumberFormat="1" applyFont="1" applyFill="1" applyBorder="1"/>
    <xf numFmtId="166" fontId="8" fillId="3" borderId="1" xfId="0" applyNumberFormat="1" applyFont="1" applyFill="1" applyBorder="1"/>
    <xf numFmtId="0" fontId="6" fillId="5" borderId="1" xfId="0" applyFont="1" applyFill="1" applyBorder="1"/>
    <xf numFmtId="0" fontId="6" fillId="6" borderId="1" xfId="0" applyFont="1" applyFill="1" applyBorder="1"/>
    <xf numFmtId="0" fontId="2" fillId="3" borderId="1" xfId="0" applyFont="1" applyFill="1" applyBorder="1" applyAlignment="1">
      <alignment horizontal="center"/>
    </xf>
    <xf numFmtId="0" fontId="8" fillId="0" borderId="0" xfId="0" applyFont="1"/>
    <xf numFmtId="9" fontId="6" fillId="0" borderId="0" xfId="0" applyNumberFormat="1" applyFont="1" applyAlignment="1">
      <alignment horizontal="center"/>
    </xf>
    <xf numFmtId="0" fontId="6" fillId="7" borderId="1" xfId="0" applyFont="1" applyFill="1" applyBorder="1"/>
    <xf numFmtId="164" fontId="6" fillId="0" borderId="0" xfId="0" applyNumberFormat="1" applyFont="1"/>
    <xf numFmtId="2" fontId="6" fillId="4" borderId="1" xfId="0" applyNumberFormat="1" applyFont="1" applyFill="1" applyBorder="1"/>
    <xf numFmtId="168" fontId="6" fillId="4" borderId="1" xfId="0" applyNumberFormat="1" applyFont="1" applyFill="1" applyBorder="1"/>
    <xf numFmtId="0" fontId="8" fillId="8" borderId="1" xfId="0" applyFont="1" applyFill="1" applyBorder="1"/>
    <xf numFmtId="167" fontId="6" fillId="0" borderId="0" xfId="0" applyNumberFormat="1" applyFont="1"/>
    <xf numFmtId="0" fontId="8" fillId="9" borderId="1" xfId="0" applyFont="1" applyFill="1" applyBorder="1"/>
    <xf numFmtId="167" fontId="8" fillId="9" borderId="1" xfId="0" applyNumberFormat="1" applyFont="1" applyFill="1" applyBorder="1"/>
    <xf numFmtId="0" fontId="5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169" fontId="8" fillId="5" borderId="10" xfId="0" applyNumberFormat="1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center" vertical="center"/>
    </xf>
    <xf numFmtId="9" fontId="8" fillId="11" borderId="12" xfId="0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7" fillId="13" borderId="13" xfId="0" applyNumberFormat="1" applyFont="1" applyFill="1" applyBorder="1" applyAlignment="1">
      <alignment horizontal="left"/>
    </xf>
    <xf numFmtId="1" fontId="11" fillId="0" borderId="14" xfId="0" applyNumberFormat="1" applyFont="1" applyBorder="1" applyAlignment="1">
      <alignment horizontal="center" vertical="center"/>
    </xf>
    <xf numFmtId="169" fontId="11" fillId="0" borderId="14" xfId="0" applyNumberFormat="1" applyFont="1" applyBorder="1" applyAlignment="1">
      <alignment horizontal="center" vertical="center"/>
    </xf>
    <xf numFmtId="2" fontId="11" fillId="0" borderId="14" xfId="0" applyNumberFormat="1" applyFont="1" applyBorder="1" applyAlignment="1">
      <alignment horizontal="center" vertical="center"/>
    </xf>
    <xf numFmtId="164" fontId="11" fillId="0" borderId="14" xfId="0" applyNumberFormat="1" applyFont="1" applyBorder="1" applyAlignment="1">
      <alignment horizontal="center" vertical="center"/>
    </xf>
    <xf numFmtId="166" fontId="6" fillId="0" borderId="15" xfId="0" applyNumberFormat="1" applyFont="1" applyBorder="1"/>
    <xf numFmtId="164" fontId="11" fillId="14" borderId="13" xfId="0" applyNumberFormat="1" applyFont="1" applyFill="1" applyBorder="1" applyAlignment="1">
      <alignment horizontal="center" vertical="center"/>
    </xf>
    <xf numFmtId="168" fontId="3" fillId="15" borderId="16" xfId="0" applyNumberFormat="1" applyFont="1" applyFill="1" applyBorder="1"/>
    <xf numFmtId="168" fontId="3" fillId="15" borderId="17" xfId="0" applyNumberFormat="1" applyFont="1" applyFill="1" applyBorder="1"/>
    <xf numFmtId="166" fontId="6" fillId="0" borderId="4" xfId="0" applyNumberFormat="1" applyFont="1" applyBorder="1" applyAlignment="1">
      <alignment horizontal="center"/>
    </xf>
    <xf numFmtId="2" fontId="7" fillId="13" borderId="18" xfId="0" applyNumberFormat="1" applyFont="1" applyFill="1" applyBorder="1" applyAlignment="1">
      <alignment horizontal="left"/>
    </xf>
    <xf numFmtId="1" fontId="11" fillId="0" borderId="18" xfId="0" applyNumberFormat="1" applyFont="1" applyBorder="1" applyAlignment="1">
      <alignment horizontal="center" vertical="center"/>
    </xf>
    <xf numFmtId="169" fontId="11" fillId="0" borderId="18" xfId="0" applyNumberFormat="1" applyFont="1" applyBorder="1" applyAlignment="1">
      <alignment horizontal="center" vertical="center"/>
    </xf>
    <xf numFmtId="2" fontId="11" fillId="0" borderId="18" xfId="0" applyNumberFormat="1" applyFont="1" applyBorder="1" applyAlignment="1">
      <alignment horizontal="center" vertical="center"/>
    </xf>
    <xf numFmtId="166" fontId="6" fillId="0" borderId="19" xfId="0" applyNumberFormat="1" applyFont="1" applyBorder="1"/>
    <xf numFmtId="164" fontId="11" fillId="14" borderId="18" xfId="0" applyNumberFormat="1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69" fontId="6" fillId="0" borderId="18" xfId="0" applyNumberFormat="1" applyFont="1" applyBorder="1" applyAlignment="1">
      <alignment horizontal="center" vertical="center"/>
    </xf>
    <xf numFmtId="2" fontId="6" fillId="0" borderId="18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center"/>
    </xf>
    <xf numFmtId="4" fontId="11" fillId="0" borderId="20" xfId="0" applyNumberFormat="1" applyFont="1" applyBorder="1" applyAlignment="1">
      <alignment horizontal="center"/>
    </xf>
    <xf numFmtId="0" fontId="7" fillId="0" borderId="0" xfId="0" applyFont="1"/>
    <xf numFmtId="169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16" borderId="4" xfId="0" applyFont="1" applyFill="1" applyBorder="1" applyAlignment="1">
      <alignment horizontal="center" vertical="center"/>
    </xf>
    <xf numFmtId="0" fontId="11" fillId="16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70" fontId="11" fillId="0" borderId="4" xfId="0" applyNumberFormat="1" applyFont="1" applyBorder="1" applyAlignment="1">
      <alignment horizontal="center" vertical="center"/>
    </xf>
    <xf numFmtId="164" fontId="5" fillId="8" borderId="4" xfId="0" applyNumberFormat="1" applyFont="1" applyFill="1" applyBorder="1" applyAlignment="1">
      <alignment horizontal="center" vertical="center"/>
    </xf>
    <xf numFmtId="170" fontId="11" fillId="0" borderId="4" xfId="0" applyNumberFormat="1" applyFont="1" applyBorder="1" applyAlignment="1">
      <alignment horizontal="center" vertical="center"/>
    </xf>
    <xf numFmtId="168" fontId="11" fillId="0" borderId="4" xfId="0" applyNumberFormat="1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170" fontId="11" fillId="0" borderId="4" xfId="0" applyNumberFormat="1" applyFont="1" applyBorder="1" applyAlignment="1">
      <alignment horizontal="center"/>
    </xf>
    <xf numFmtId="164" fontId="11" fillId="0" borderId="4" xfId="0" applyNumberFormat="1" applyFont="1" applyBorder="1" applyAlignment="1">
      <alignment horizontal="center"/>
    </xf>
    <xf numFmtId="0" fontId="11" fillId="17" borderId="4" xfId="0" applyFont="1" applyFill="1" applyBorder="1" applyAlignment="1">
      <alignment horizontal="center" vertical="center"/>
    </xf>
    <xf numFmtId="0" fontId="11" fillId="17" borderId="4" xfId="0" applyFont="1" applyFill="1" applyBorder="1" applyAlignment="1">
      <alignment horizontal="center"/>
    </xf>
    <xf numFmtId="170" fontId="11" fillId="17" borderId="4" xfId="0" applyNumberFormat="1" applyFont="1" applyFill="1" applyBorder="1" applyAlignment="1">
      <alignment horizontal="center"/>
    </xf>
    <xf numFmtId="164" fontId="11" fillId="17" borderId="4" xfId="0" applyNumberFormat="1" applyFont="1" applyFill="1" applyBorder="1" applyAlignment="1">
      <alignment horizontal="center"/>
    </xf>
    <xf numFmtId="0" fontId="4" fillId="0" borderId="3" xfId="0" applyFont="1" applyBorder="1"/>
    <xf numFmtId="0" fontId="1" fillId="2" borderId="2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2" fillId="3" borderId="2" xfId="0" applyFont="1" applyFill="1" applyBorder="1" applyAlignment="1">
      <alignment horizontal="left"/>
    </xf>
    <xf numFmtId="0" fontId="4" fillId="0" borderId="9" xfId="0" applyFont="1" applyBorder="1"/>
  </cellXfs>
  <cellStyles count="1">
    <cellStyle name="Normal" xfId="0" builtinId="0"/>
  </cellStyles>
  <dxfs count="8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3">
    <tableStyle name="Resp. Rapidas-style" pivot="0" count="3" xr9:uid="{00000000-0011-0000-FFFF-FFFF00000000}">
      <tableStyleElement type="headerRow" dxfId="7"/>
      <tableStyleElement type="firstRowStripe" dxfId="6"/>
      <tableStyleElement type="secondRowStripe" dxfId="5"/>
    </tableStyle>
    <tableStyle name="Resp. Rapidas-style 2" pivot="0" count="3" xr9:uid="{00000000-0011-0000-FFFF-FFFF01000000}">
      <tableStyleElement type="headerRow" dxfId="4"/>
      <tableStyleElement type="firstRowStripe" dxfId="3"/>
      <tableStyleElement type="secondRowStripe" dxfId="2"/>
    </tableStyle>
    <tableStyle name="Resp. Rapidas-style 3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customschemas.google.com/relationships/workbookmetadata" Target="metadata"/><Relationship Id="rId28" Type="http://schemas.openxmlformats.org/officeDocument/2006/relationships/calcChain" Target="calcChain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J1030"/>
  <sheetViews>
    <sheetView showGridLines="0" workbookViewId="0">
      <selection activeCell="A36" sqref="A36"/>
    </sheetView>
  </sheetViews>
  <sheetFormatPr baseColWidth="10" defaultColWidth="14.41796875" defaultRowHeight="15" customHeight="1"/>
  <cols>
    <col min="1" max="1" width="43.578125" customWidth="1"/>
    <col min="2" max="2" width="13" customWidth="1"/>
    <col min="3" max="3" width="12" customWidth="1"/>
    <col min="4" max="4" width="10.15625" customWidth="1"/>
    <col min="5" max="5" width="8.26171875" customWidth="1"/>
    <col min="6" max="7" width="10.41796875" customWidth="1"/>
    <col min="8" max="8" width="10.26171875" customWidth="1"/>
    <col min="9" max="9" width="59" customWidth="1"/>
  </cols>
  <sheetData>
    <row r="1" spans="1:10" ht="15" customHeight="1">
      <c r="A1" s="6">
        <f ca="1">TODAY()</f>
        <v>45943</v>
      </c>
      <c r="B1" s="7"/>
      <c r="H1" s="8"/>
      <c r="I1" s="81" t="s">
        <v>0</v>
      </c>
      <c r="J1" s="82"/>
    </row>
    <row r="2" spans="1:10" ht="15" customHeight="1">
      <c r="A2" s="80" t="s">
        <v>1</v>
      </c>
      <c r="B2" s="79"/>
      <c r="C2" s="1"/>
      <c r="D2" s="1"/>
      <c r="E2" s="1"/>
      <c r="F2" s="1"/>
      <c r="G2" s="1"/>
      <c r="H2" s="8"/>
      <c r="I2" s="83"/>
      <c r="J2" s="84"/>
    </row>
    <row r="3" spans="1:10" ht="15" customHeight="1">
      <c r="A3" s="9" t="s">
        <v>2</v>
      </c>
      <c r="B3" s="10"/>
      <c r="C3" s="10"/>
      <c r="D3" s="10"/>
      <c r="E3" s="10"/>
      <c r="F3" s="10"/>
      <c r="G3" s="10"/>
      <c r="H3" s="4"/>
      <c r="I3" s="11" t="s">
        <v>3</v>
      </c>
      <c r="J3" s="12">
        <f>B4</f>
        <v>65445.027999999998</v>
      </c>
    </row>
    <row r="4" spans="1:10" ht="14.4">
      <c r="A4" s="11" t="s">
        <v>4</v>
      </c>
      <c r="B4" s="13">
        <f t="shared" ref="B4:B5" si="0">D4*92%</f>
        <v>65445.027999999998</v>
      </c>
      <c r="C4" s="14" t="s">
        <v>5</v>
      </c>
      <c r="D4" s="15">
        <f>'Tejidos romboidales'!K2*121%</f>
        <v>71135.899999999994</v>
      </c>
      <c r="E4" s="14" t="s">
        <v>6</v>
      </c>
      <c r="F4" s="15">
        <f t="shared" ref="F4:F5" si="1">D4*105%</f>
        <v>74692.694999999992</v>
      </c>
      <c r="G4" s="14" t="s">
        <v>7</v>
      </c>
      <c r="H4" s="4"/>
      <c r="I4" s="11" t="s">
        <v>8</v>
      </c>
      <c r="J4" s="12">
        <f>B20</f>
        <v>60190.724000000002</v>
      </c>
    </row>
    <row r="5" spans="1:10" ht="14.4">
      <c r="A5" s="11" t="s">
        <v>9</v>
      </c>
      <c r="B5" s="13">
        <f t="shared" si="0"/>
        <v>80651.34</v>
      </c>
      <c r="C5" s="14" t="s">
        <v>5</v>
      </c>
      <c r="D5" s="15">
        <f>'Tejidos romboidales'!K7*121%</f>
        <v>87664.5</v>
      </c>
      <c r="E5" s="14" t="s">
        <v>6</v>
      </c>
      <c r="F5" s="15">
        <f t="shared" si="1"/>
        <v>92047.725000000006</v>
      </c>
      <c r="G5" s="14" t="s">
        <v>7</v>
      </c>
      <c r="H5" s="4"/>
      <c r="I5" s="11" t="s">
        <v>10</v>
      </c>
      <c r="J5" s="12">
        <f>B36</f>
        <v>50672.864000000001</v>
      </c>
    </row>
    <row r="6" spans="1:10" ht="15" customHeight="1">
      <c r="A6" s="9" t="s">
        <v>11</v>
      </c>
      <c r="B6" s="9"/>
      <c r="C6" s="9"/>
      <c r="D6" s="9"/>
      <c r="E6" s="9"/>
      <c r="F6" s="9"/>
      <c r="G6" s="9"/>
      <c r="H6" s="4"/>
      <c r="I6" s="11" t="s">
        <v>12</v>
      </c>
      <c r="J6" s="12">
        <f>B52</f>
        <v>40110</v>
      </c>
    </row>
    <row r="7" spans="1:10" ht="14.4">
      <c r="A7" s="11" t="s">
        <v>13</v>
      </c>
      <c r="B7" s="13">
        <f t="shared" ref="B7:B10" si="2">D7*92%</f>
        <v>99041.403999999995</v>
      </c>
      <c r="C7" s="14" t="s">
        <v>5</v>
      </c>
      <c r="D7" s="15">
        <f>'Tejidos romboidales'!K12*121%</f>
        <v>107653.7</v>
      </c>
      <c r="E7" s="14" t="s">
        <v>6</v>
      </c>
      <c r="F7" s="15">
        <f t="shared" ref="F7:F10" si="3">D7*105%</f>
        <v>113036.38499999999</v>
      </c>
      <c r="G7" s="14" t="s">
        <v>7</v>
      </c>
      <c r="H7" s="4"/>
      <c r="I7" s="11" t="s">
        <v>14</v>
      </c>
      <c r="J7" s="12">
        <f>B68</f>
        <v>32510</v>
      </c>
    </row>
    <row r="8" spans="1:10" ht="14.4">
      <c r="A8" s="11" t="s">
        <v>15</v>
      </c>
      <c r="B8" s="13">
        <f t="shared" si="2"/>
        <v>115550.16</v>
      </c>
      <c r="C8" s="14" t="s">
        <v>5</v>
      </c>
      <c r="D8" s="15">
        <f>'Tejidos romboidales'!K17*121%</f>
        <v>125598</v>
      </c>
      <c r="E8" s="14" t="s">
        <v>6</v>
      </c>
      <c r="F8" s="15">
        <f t="shared" si="3"/>
        <v>131877.9</v>
      </c>
      <c r="G8" s="14" t="s">
        <v>7</v>
      </c>
    </row>
    <row r="9" spans="1:10" ht="14.4">
      <c r="A9" s="11" t="s">
        <v>16</v>
      </c>
      <c r="B9" s="13">
        <f t="shared" si="2"/>
        <v>100199.132</v>
      </c>
      <c r="C9" s="14" t="s">
        <v>5</v>
      </c>
      <c r="D9" s="15">
        <f>'Tejidos romboidales'!K22*121%</f>
        <v>108912.09999999999</v>
      </c>
      <c r="E9" s="14" t="s">
        <v>6</v>
      </c>
      <c r="F9" s="15">
        <f t="shared" si="3"/>
        <v>114357.705</v>
      </c>
      <c r="G9" s="14" t="s">
        <v>7</v>
      </c>
    </row>
    <row r="10" spans="1:10" ht="14.4">
      <c r="A10" s="11" t="s">
        <v>17</v>
      </c>
      <c r="B10" s="13">
        <f t="shared" si="2"/>
        <v>110796.796</v>
      </c>
      <c r="C10" s="14" t="s">
        <v>5</v>
      </c>
      <c r="D10" s="15">
        <f>'Tejidos romboidales'!K27*121%</f>
        <v>120431.3</v>
      </c>
      <c r="E10" s="14" t="s">
        <v>6</v>
      </c>
      <c r="F10" s="15">
        <f t="shared" si="3"/>
        <v>126452.86500000001</v>
      </c>
      <c r="G10" s="14" t="s">
        <v>7</v>
      </c>
    </row>
    <row r="11" spans="1:10" ht="15" customHeight="1">
      <c r="A11" s="9" t="s">
        <v>18</v>
      </c>
      <c r="B11" s="9"/>
      <c r="C11" s="16"/>
      <c r="D11" s="16"/>
      <c r="E11" s="16"/>
      <c r="F11" s="9"/>
      <c r="G11" s="16"/>
    </row>
    <row r="12" spans="1:10" ht="14.4">
      <c r="A12" s="11" t="s">
        <v>19</v>
      </c>
      <c r="B12" s="13">
        <f t="shared" ref="B12:B13" si="4">D12*92%</f>
        <v>152463.872</v>
      </c>
      <c r="C12" s="14" t="s">
        <v>5</v>
      </c>
      <c r="D12" s="15">
        <f>'Tejidos romboidales'!K32*121%</f>
        <v>165721.60000000001</v>
      </c>
      <c r="E12" s="14" t="s">
        <v>6</v>
      </c>
      <c r="F12" s="15">
        <f t="shared" ref="F12:F13" si="5">D12*105%</f>
        <v>174007.68000000002</v>
      </c>
      <c r="G12" s="14" t="s">
        <v>7</v>
      </c>
    </row>
    <row r="13" spans="1:10" ht="14.4">
      <c r="A13" s="11" t="s">
        <v>20</v>
      </c>
      <c r="B13" s="13">
        <f t="shared" si="4"/>
        <v>169451.304</v>
      </c>
      <c r="C13" s="14" t="s">
        <v>5</v>
      </c>
      <c r="D13" s="15">
        <f>'Tejidos romboidales'!K37*121%</f>
        <v>184186.19999999998</v>
      </c>
      <c r="E13" s="14" t="s">
        <v>6</v>
      </c>
      <c r="F13" s="15">
        <f t="shared" si="5"/>
        <v>193395.50999999998</v>
      </c>
      <c r="G13" s="14" t="s">
        <v>7</v>
      </c>
    </row>
    <row r="14" spans="1:10" ht="14.4">
      <c r="A14" s="11"/>
      <c r="B14" s="12"/>
      <c r="C14" s="17"/>
      <c r="D14" s="15"/>
      <c r="E14" s="17"/>
      <c r="F14" s="15"/>
      <c r="G14" s="17"/>
    </row>
    <row r="15" spans="1:10" ht="15" customHeight="1">
      <c r="A15" s="9" t="s">
        <v>21</v>
      </c>
      <c r="B15" s="9"/>
      <c r="C15" s="9"/>
      <c r="D15" s="9"/>
      <c r="E15" s="9"/>
      <c r="F15" s="9"/>
      <c r="G15" s="9"/>
    </row>
    <row r="16" spans="1:10" ht="14.4">
      <c r="A16" s="4"/>
      <c r="B16" s="4"/>
    </row>
    <row r="17" spans="1:9" ht="14.4">
      <c r="A17" s="4"/>
      <c r="B17" s="4"/>
    </row>
    <row r="18" spans="1:9" ht="15" customHeight="1">
      <c r="A18" s="80" t="s">
        <v>22</v>
      </c>
      <c r="B18" s="79"/>
      <c r="C18" s="18"/>
      <c r="D18" s="18"/>
      <c r="E18" s="1"/>
      <c r="F18" s="1"/>
      <c r="G18" s="1"/>
    </row>
    <row r="19" spans="1:9" ht="15" customHeight="1">
      <c r="A19" s="9" t="s">
        <v>2</v>
      </c>
      <c r="B19" s="19"/>
      <c r="C19" s="19"/>
      <c r="D19" s="19"/>
      <c r="E19" s="10"/>
      <c r="F19" s="10"/>
      <c r="G19" s="10"/>
    </row>
    <row r="20" spans="1:9" ht="14.4">
      <c r="A20" s="11" t="s">
        <v>4</v>
      </c>
      <c r="B20" s="13">
        <f t="shared" ref="B20:B21" si="6">D20*92%</f>
        <v>60190.724000000002</v>
      </c>
      <c r="C20" s="14" t="s">
        <v>5</v>
      </c>
      <c r="D20" s="15">
        <f>'Tejidos romboidales'!K3*121%</f>
        <v>65424.7</v>
      </c>
      <c r="E20" s="14" t="s">
        <v>6</v>
      </c>
      <c r="F20" s="15">
        <f t="shared" ref="F20:F21" si="7">D20*105%</f>
        <v>68695.934999999998</v>
      </c>
      <c r="G20" s="14" t="s">
        <v>7</v>
      </c>
    </row>
    <row r="21" spans="1:9" ht="14.4">
      <c r="A21" s="11" t="s">
        <v>9</v>
      </c>
      <c r="B21" s="13">
        <f t="shared" si="6"/>
        <v>75252.320000000007</v>
      </c>
      <c r="C21" s="14" t="s">
        <v>5</v>
      </c>
      <c r="D21" s="15">
        <f>'Tejidos romboidales'!K8*121%</f>
        <v>81796</v>
      </c>
      <c r="E21" s="14" t="s">
        <v>6</v>
      </c>
      <c r="F21" s="15">
        <f t="shared" si="7"/>
        <v>85885.8</v>
      </c>
      <c r="G21" s="14" t="s">
        <v>7</v>
      </c>
    </row>
    <row r="22" spans="1:9" ht="15.75" customHeight="1">
      <c r="A22" s="9" t="s">
        <v>11</v>
      </c>
      <c r="B22" s="16"/>
      <c r="C22" s="16"/>
      <c r="D22" s="16"/>
      <c r="E22" s="16"/>
      <c r="F22" s="9"/>
      <c r="G22" s="9"/>
      <c r="H22" s="20"/>
      <c r="I22" s="20"/>
    </row>
    <row r="23" spans="1:9" ht="15.75" customHeight="1">
      <c r="A23" s="11" t="s">
        <v>13</v>
      </c>
      <c r="B23" s="13">
        <f t="shared" ref="B23:B26" si="8">D23*92%</f>
        <v>87798.084000000003</v>
      </c>
      <c r="C23" s="14" t="s">
        <v>5</v>
      </c>
      <c r="D23" s="15">
        <f>'Tejidos romboidales'!K13*121%</f>
        <v>95432.7</v>
      </c>
      <c r="E23" s="14" t="s">
        <v>6</v>
      </c>
      <c r="F23" s="15">
        <f t="shared" ref="F23:F26" si="9">D23*105%</f>
        <v>100204.33500000001</v>
      </c>
      <c r="G23" s="14" t="s">
        <v>7</v>
      </c>
    </row>
    <row r="24" spans="1:9" ht="15.75" customHeight="1">
      <c r="A24" s="11" t="s">
        <v>15</v>
      </c>
      <c r="B24" s="13">
        <f t="shared" si="8"/>
        <v>103583.26000000001</v>
      </c>
      <c r="C24" s="14" t="s">
        <v>5</v>
      </c>
      <c r="D24" s="15">
        <f>'Tejidos romboidales'!K18*121%</f>
        <v>112590.5</v>
      </c>
      <c r="E24" s="14" t="s">
        <v>6</v>
      </c>
      <c r="F24" s="15">
        <f t="shared" si="9"/>
        <v>118220.02500000001</v>
      </c>
      <c r="G24" s="14" t="s">
        <v>7</v>
      </c>
    </row>
    <row r="25" spans="1:9" ht="15.75" customHeight="1">
      <c r="A25" s="11" t="s">
        <v>16</v>
      </c>
      <c r="B25" s="13">
        <f t="shared" si="8"/>
        <v>90325.047999999995</v>
      </c>
      <c r="C25" s="14" t="s">
        <v>5</v>
      </c>
      <c r="D25" s="15">
        <f>'Tejidos romboidales'!K23*121%</f>
        <v>98179.4</v>
      </c>
      <c r="E25" s="14" t="s">
        <v>6</v>
      </c>
      <c r="F25" s="15">
        <f t="shared" si="9"/>
        <v>103088.37</v>
      </c>
      <c r="G25" s="14" t="s">
        <v>7</v>
      </c>
    </row>
    <row r="26" spans="1:9" ht="15.75" customHeight="1">
      <c r="A26" s="11" t="s">
        <v>17</v>
      </c>
      <c r="B26" s="13">
        <f t="shared" si="8"/>
        <v>99475.551999999996</v>
      </c>
      <c r="C26" s="14" t="s">
        <v>5</v>
      </c>
      <c r="D26" s="15">
        <f>'Tejidos romboidales'!K28*121%</f>
        <v>108125.59999999999</v>
      </c>
      <c r="E26" s="14" t="s">
        <v>6</v>
      </c>
      <c r="F26" s="15">
        <f t="shared" si="9"/>
        <v>113531.87999999999</v>
      </c>
      <c r="G26" s="14" t="s">
        <v>7</v>
      </c>
    </row>
    <row r="27" spans="1:9" ht="15" customHeight="1">
      <c r="A27" s="9" t="s">
        <v>18</v>
      </c>
      <c r="B27" s="16"/>
      <c r="C27" s="16"/>
      <c r="D27" s="16"/>
      <c r="E27" s="16"/>
      <c r="F27" s="9"/>
      <c r="G27" s="16"/>
    </row>
    <row r="28" spans="1:9" ht="15.75" customHeight="1">
      <c r="A28" s="11" t="s">
        <v>19</v>
      </c>
      <c r="B28" s="13">
        <f t="shared" ref="B28:B29" si="10">D28*92%</f>
        <v>135487.57200000001</v>
      </c>
      <c r="C28" s="14" t="s">
        <v>5</v>
      </c>
      <c r="D28" s="15">
        <f>'Tejidos romboidales'!K33*121%</f>
        <v>147269.1</v>
      </c>
      <c r="E28" s="14" t="s">
        <v>6</v>
      </c>
      <c r="F28" s="15">
        <f t="shared" ref="F28:F29" si="11">D28*105%</f>
        <v>154632.55500000002</v>
      </c>
      <c r="G28" s="14" t="s">
        <v>7</v>
      </c>
    </row>
    <row r="29" spans="1:9" ht="15.75" customHeight="1">
      <c r="A29" s="11" t="s">
        <v>20</v>
      </c>
      <c r="B29" s="13">
        <f t="shared" si="10"/>
        <v>163662.66399999999</v>
      </c>
      <c r="C29" s="14" t="s">
        <v>5</v>
      </c>
      <c r="D29" s="15">
        <f>'Tejidos romboidales'!K38*121%</f>
        <v>177894.19999999998</v>
      </c>
      <c r="E29" s="14" t="s">
        <v>6</v>
      </c>
      <c r="F29" s="15">
        <f t="shared" si="11"/>
        <v>186788.91</v>
      </c>
      <c r="G29" s="14" t="s">
        <v>7</v>
      </c>
    </row>
    <row r="30" spans="1:9" ht="15.75" customHeight="1">
      <c r="A30" s="11"/>
      <c r="B30" s="12"/>
      <c r="C30" s="17"/>
      <c r="D30" s="15"/>
      <c r="E30" s="17"/>
      <c r="F30" s="15"/>
      <c r="G30" s="17"/>
    </row>
    <row r="31" spans="1:9" ht="15" customHeight="1">
      <c r="A31" s="9" t="s">
        <v>21</v>
      </c>
      <c r="B31" s="9"/>
      <c r="C31" s="9"/>
      <c r="D31" s="9"/>
      <c r="E31" s="9"/>
      <c r="F31" s="9"/>
      <c r="G31" s="9"/>
    </row>
    <row r="32" spans="1:9" ht="14.4">
      <c r="A32" s="4" t="s">
        <v>23</v>
      </c>
    </row>
    <row r="34" spans="1:9" ht="15.75" customHeight="1">
      <c r="A34" s="80" t="s">
        <v>24</v>
      </c>
      <c r="B34" s="79"/>
      <c r="C34" s="18"/>
      <c r="D34" s="18"/>
      <c r="E34" s="18"/>
      <c r="F34" s="1"/>
      <c r="G34" s="1"/>
    </row>
    <row r="35" spans="1:9" ht="15.75" customHeight="1">
      <c r="A35" s="9" t="s">
        <v>2</v>
      </c>
      <c r="B35" s="9"/>
      <c r="C35" s="9"/>
      <c r="D35" s="9"/>
      <c r="E35" s="9"/>
      <c r="F35" s="10"/>
      <c r="G35" s="10"/>
    </row>
    <row r="36" spans="1:9" ht="15.75" customHeight="1">
      <c r="A36" s="11" t="s">
        <v>4</v>
      </c>
      <c r="B36" s="12">
        <f t="shared" ref="B36:B37" si="12">D36*92%</f>
        <v>50672.864000000001</v>
      </c>
      <c r="C36" s="14" t="s">
        <v>5</v>
      </c>
      <c r="D36" s="15">
        <f>'Tejidos romboidales'!K4*121%</f>
        <v>55079.199999999997</v>
      </c>
      <c r="E36" s="14" t="s">
        <v>6</v>
      </c>
      <c r="F36" s="15">
        <f t="shared" ref="F36:F37" si="13">D36*105%</f>
        <v>57833.159999999996</v>
      </c>
      <c r="G36" s="14" t="s">
        <v>7</v>
      </c>
    </row>
    <row r="37" spans="1:9" ht="15.75" customHeight="1">
      <c r="A37" s="11" t="s">
        <v>9</v>
      </c>
      <c r="B37" s="12">
        <f t="shared" si="12"/>
        <v>62272.407999999996</v>
      </c>
      <c r="C37" s="14" t="s">
        <v>5</v>
      </c>
      <c r="D37" s="15">
        <f>'Tejidos romboidales'!K9*121%</f>
        <v>67687.399999999994</v>
      </c>
      <c r="E37" s="14" t="s">
        <v>6</v>
      </c>
      <c r="F37" s="15">
        <f t="shared" si="13"/>
        <v>71071.77</v>
      </c>
      <c r="G37" s="14" t="s">
        <v>7</v>
      </c>
    </row>
    <row r="38" spans="1:9" ht="15.75" customHeight="1">
      <c r="A38" s="9" t="s">
        <v>11</v>
      </c>
      <c r="B38" s="16"/>
      <c r="C38" s="16"/>
      <c r="D38" s="16"/>
      <c r="E38" s="9"/>
      <c r="F38" s="9"/>
      <c r="G38" s="9"/>
    </row>
    <row r="39" spans="1:9" ht="15.75" customHeight="1">
      <c r="A39" s="11" t="s">
        <v>25</v>
      </c>
      <c r="B39" s="12">
        <f t="shared" ref="B39:B42" si="14">D39*92%</f>
        <v>72012.907999999996</v>
      </c>
      <c r="C39" s="14" t="s">
        <v>5</v>
      </c>
      <c r="D39" s="15">
        <f>'Tejidos romboidales'!K14*121%</f>
        <v>78274.899999999994</v>
      </c>
      <c r="E39" s="14" t="s">
        <v>6</v>
      </c>
      <c r="F39" s="15">
        <f t="shared" ref="F39:F42" si="15">D39*105%</f>
        <v>82188.645000000004</v>
      </c>
      <c r="G39" s="14" t="s">
        <v>7</v>
      </c>
      <c r="H39" s="21"/>
      <c r="I39" s="21"/>
    </row>
    <row r="40" spans="1:9" ht="15.75" customHeight="1">
      <c r="A40" s="11" t="s">
        <v>15</v>
      </c>
      <c r="B40" s="12">
        <f t="shared" si="14"/>
        <v>87798.084000000003</v>
      </c>
      <c r="C40" s="14" t="s">
        <v>5</v>
      </c>
      <c r="D40" s="15">
        <f>'Tejidos romboidales'!K19*121%</f>
        <v>95432.7</v>
      </c>
      <c r="E40" s="14" t="s">
        <v>6</v>
      </c>
      <c r="F40" s="15">
        <f t="shared" si="15"/>
        <v>100204.33500000001</v>
      </c>
      <c r="G40" s="14" t="s">
        <v>7</v>
      </c>
    </row>
    <row r="41" spans="1:9" ht="15.75" customHeight="1">
      <c r="A41" s="11" t="s">
        <v>16</v>
      </c>
      <c r="B41" s="12">
        <f t="shared" si="14"/>
        <v>76231.936000000002</v>
      </c>
      <c r="C41" s="14" t="s">
        <v>5</v>
      </c>
      <c r="D41" s="15">
        <f>'Tejidos romboidales'!K24*121%</f>
        <v>82860.800000000003</v>
      </c>
      <c r="E41" s="14" t="s">
        <v>6</v>
      </c>
      <c r="F41" s="15">
        <f t="shared" si="15"/>
        <v>87003.840000000011</v>
      </c>
      <c r="G41" s="14" t="s">
        <v>7</v>
      </c>
    </row>
    <row r="42" spans="1:9" ht="15.75" customHeight="1">
      <c r="A42" s="11" t="s">
        <v>17</v>
      </c>
      <c r="B42" s="12">
        <f t="shared" si="14"/>
        <v>85382.44</v>
      </c>
      <c r="C42" s="14" t="s">
        <v>5</v>
      </c>
      <c r="D42" s="15">
        <f>'Tejidos romboidales'!K29*121%</f>
        <v>92807</v>
      </c>
      <c r="E42" s="14" t="s">
        <v>6</v>
      </c>
      <c r="F42" s="15">
        <f t="shared" si="15"/>
        <v>97447.35</v>
      </c>
      <c r="G42" s="14" t="s">
        <v>7</v>
      </c>
    </row>
    <row r="43" spans="1:9" ht="15.75" customHeight="1">
      <c r="A43" s="9" t="s">
        <v>18</v>
      </c>
      <c r="B43" s="16"/>
      <c r="C43" s="16"/>
      <c r="D43" s="16"/>
      <c r="E43" s="16"/>
      <c r="F43" s="9"/>
      <c r="G43" s="16"/>
    </row>
    <row r="44" spans="1:9" ht="15.75" customHeight="1">
      <c r="A44" s="11" t="s">
        <v>19</v>
      </c>
      <c r="B44" s="12">
        <f t="shared" ref="B44:B45" si="16">D44*92%</f>
        <v>115004.692</v>
      </c>
      <c r="C44" s="14" t="s">
        <v>5</v>
      </c>
      <c r="D44" s="15">
        <f>'Tejidos romboidales'!K34*121%</f>
        <v>125005.09999999999</v>
      </c>
      <c r="E44" s="14" t="s">
        <v>6</v>
      </c>
      <c r="F44" s="15">
        <f t="shared" ref="F44:F45" si="17">D44*105%</f>
        <v>131255.35500000001</v>
      </c>
      <c r="G44" s="14" t="s">
        <v>7</v>
      </c>
    </row>
    <row r="45" spans="1:9" ht="15.75" customHeight="1">
      <c r="A45" s="11" t="s">
        <v>20</v>
      </c>
      <c r="B45" s="12">
        <f t="shared" si="16"/>
        <v>121394.46</v>
      </c>
      <c r="C45" s="14" t="s">
        <v>5</v>
      </c>
      <c r="D45" s="15">
        <f>'Tejidos romboidales'!K39*121%</f>
        <v>131950.5</v>
      </c>
      <c r="E45" s="14" t="s">
        <v>6</v>
      </c>
      <c r="F45" s="15">
        <f t="shared" si="17"/>
        <v>138548.02499999999</v>
      </c>
      <c r="G45" s="14" t="s">
        <v>7</v>
      </c>
    </row>
    <row r="46" spans="1:9" ht="15.75" customHeight="1">
      <c r="A46" s="11"/>
      <c r="B46" s="12"/>
      <c r="C46" s="17"/>
      <c r="D46" s="15"/>
      <c r="E46" s="17"/>
      <c r="F46" s="15"/>
      <c r="G46" s="17"/>
    </row>
    <row r="47" spans="1:9" ht="15.75" customHeight="1">
      <c r="A47" s="9" t="s">
        <v>21</v>
      </c>
      <c r="B47" s="9"/>
      <c r="C47" s="9"/>
      <c r="D47" s="9"/>
      <c r="E47" s="9"/>
      <c r="F47" s="9"/>
      <c r="G47" s="9"/>
    </row>
    <row r="50" spans="1:5" ht="15.75" customHeight="1">
      <c r="A50" s="80" t="s">
        <v>26</v>
      </c>
      <c r="B50" s="79"/>
      <c r="C50" s="18"/>
      <c r="D50" s="18"/>
      <c r="E50" s="1"/>
    </row>
    <row r="51" spans="1:5" ht="15.75" customHeight="1">
      <c r="A51" s="9" t="s">
        <v>2</v>
      </c>
      <c r="B51" s="9"/>
      <c r="C51" s="9"/>
      <c r="D51" s="9"/>
      <c r="E51" s="10"/>
    </row>
    <row r="52" spans="1:5" ht="15.75" customHeight="1">
      <c r="A52" s="11" t="s">
        <v>4</v>
      </c>
      <c r="B52" s="12">
        <f>'Tejidos romboidales'!K5</f>
        <v>40110</v>
      </c>
      <c r="C52" s="14"/>
      <c r="D52" s="15">
        <f t="shared" ref="D52:D53" si="18">B52*121%</f>
        <v>48533.1</v>
      </c>
      <c r="E52" s="14" t="s">
        <v>7</v>
      </c>
    </row>
    <row r="53" spans="1:5" ht="15.75" customHeight="1">
      <c r="A53" s="11" t="s">
        <v>9</v>
      </c>
      <c r="B53" s="12">
        <f>'Tejidos romboidales'!K10</f>
        <v>47950</v>
      </c>
      <c r="C53" s="14"/>
      <c r="D53" s="15">
        <f t="shared" si="18"/>
        <v>58019.5</v>
      </c>
      <c r="E53" s="14" t="s">
        <v>7</v>
      </c>
    </row>
    <row r="54" spans="1:5" ht="15.75" customHeight="1">
      <c r="A54" s="9" t="s">
        <v>11</v>
      </c>
      <c r="B54" s="9"/>
      <c r="C54" s="16"/>
      <c r="D54" s="16"/>
      <c r="E54" s="9"/>
    </row>
    <row r="55" spans="1:5" ht="15.75" customHeight="1">
      <c r="A55" s="11" t="s">
        <v>13</v>
      </c>
      <c r="B55" s="12">
        <f>'Tejidos romboidales'!K15</f>
        <v>55240</v>
      </c>
      <c r="C55" s="14"/>
      <c r="D55" s="15">
        <f t="shared" ref="D55:D58" si="19">B55*121%</f>
        <v>66840.399999999994</v>
      </c>
      <c r="E55" s="14" t="s">
        <v>7</v>
      </c>
    </row>
    <row r="56" spans="1:5" ht="15.75" customHeight="1">
      <c r="A56" s="11" t="s">
        <v>15</v>
      </c>
      <c r="B56" s="12">
        <f>'Tejidos romboidales'!K20</f>
        <v>65340</v>
      </c>
      <c r="C56" s="14"/>
      <c r="D56" s="15">
        <f t="shared" si="19"/>
        <v>79061.399999999994</v>
      </c>
      <c r="E56" s="14" t="s">
        <v>7</v>
      </c>
    </row>
    <row r="57" spans="1:5" ht="15.75" customHeight="1">
      <c r="A57" s="11" t="s">
        <v>16</v>
      </c>
      <c r="B57" s="12">
        <f>'Tejidos romboidales'!K25</f>
        <v>55820</v>
      </c>
      <c r="C57" s="14"/>
      <c r="D57" s="15">
        <f t="shared" si="19"/>
        <v>67542.2</v>
      </c>
      <c r="E57" s="14" t="s">
        <v>7</v>
      </c>
    </row>
    <row r="58" spans="1:5" ht="15.75" customHeight="1">
      <c r="A58" s="11" t="s">
        <v>17</v>
      </c>
      <c r="B58" s="12">
        <f>'Tejidos romboidales'!K30</f>
        <v>64040</v>
      </c>
      <c r="C58" s="14"/>
      <c r="D58" s="15">
        <f t="shared" si="19"/>
        <v>77488.399999999994</v>
      </c>
      <c r="E58" s="14" t="s">
        <v>7</v>
      </c>
    </row>
    <row r="59" spans="1:5" ht="15.75" customHeight="1">
      <c r="A59" s="9" t="s">
        <v>18</v>
      </c>
      <c r="B59" s="9"/>
      <c r="C59" s="16"/>
      <c r="D59" s="16"/>
      <c r="E59" s="16"/>
    </row>
    <row r="60" spans="1:5" ht="15.75" customHeight="1">
      <c r="A60" s="11" t="s">
        <v>19</v>
      </c>
      <c r="B60" s="12">
        <f>'Tejidos romboidales'!K35</f>
        <v>81790</v>
      </c>
      <c r="C60" s="14"/>
      <c r="D60" s="15">
        <f t="shared" ref="D60:D61" si="20">B60*121%</f>
        <v>98965.9</v>
      </c>
      <c r="E60" s="14" t="s">
        <v>7</v>
      </c>
    </row>
    <row r="61" spans="1:5" ht="15.75" customHeight="1">
      <c r="A61" s="11" t="s">
        <v>20</v>
      </c>
      <c r="B61" s="12">
        <f>'Tejidos romboidales'!K40</f>
        <v>91310</v>
      </c>
      <c r="C61" s="14"/>
      <c r="D61" s="15">
        <f t="shared" si="20"/>
        <v>110485.09999999999</v>
      </c>
      <c r="E61" s="14" t="s">
        <v>7</v>
      </c>
    </row>
    <row r="62" spans="1:5" ht="15.75" customHeight="1">
      <c r="A62" s="11"/>
      <c r="B62" s="12"/>
      <c r="C62" s="17"/>
      <c r="D62" s="15"/>
      <c r="E62" s="17"/>
    </row>
    <row r="63" spans="1:5" ht="15.75" customHeight="1">
      <c r="A63" s="9" t="s">
        <v>21</v>
      </c>
      <c r="B63" s="9"/>
      <c r="C63" s="9"/>
      <c r="D63" s="9"/>
      <c r="E63" s="9"/>
    </row>
    <row r="64" spans="1:5" ht="15.75" customHeight="1">
      <c r="A64" s="4"/>
    </row>
    <row r="65" spans="1:9" ht="15.75" customHeight="1">
      <c r="A65" s="4"/>
    </row>
    <row r="66" spans="1:9" ht="15.75" customHeight="1">
      <c r="A66" s="80" t="s">
        <v>27</v>
      </c>
      <c r="B66" s="79"/>
      <c r="C66" s="18"/>
      <c r="D66" s="18"/>
      <c r="E66" s="18"/>
    </row>
    <row r="67" spans="1:9" ht="15.75" customHeight="1">
      <c r="A67" s="9" t="s">
        <v>2</v>
      </c>
      <c r="B67" s="9"/>
      <c r="C67" s="9"/>
      <c r="D67" s="9"/>
      <c r="E67" s="9"/>
    </row>
    <row r="68" spans="1:9" ht="15.75" customHeight="1">
      <c r="A68" s="11" t="s">
        <v>4</v>
      </c>
      <c r="B68" s="12">
        <f>'Tejidos romboidales'!K6</f>
        <v>32510</v>
      </c>
      <c r="C68" s="14"/>
      <c r="D68" s="15">
        <f t="shared" ref="D68:D69" si="21">B68*121%</f>
        <v>39337.1</v>
      </c>
      <c r="E68" s="14" t="s">
        <v>7</v>
      </c>
    </row>
    <row r="69" spans="1:9" ht="15.75" customHeight="1">
      <c r="A69" s="11" t="s">
        <v>9</v>
      </c>
      <c r="B69" s="12">
        <f>'Tejidos romboidales'!K11</f>
        <v>41580</v>
      </c>
      <c r="C69" s="14"/>
      <c r="D69" s="15">
        <f t="shared" si="21"/>
        <v>50311.799999999996</v>
      </c>
      <c r="E69" s="14" t="s">
        <v>7</v>
      </c>
    </row>
    <row r="70" spans="1:9" ht="15.75" customHeight="1">
      <c r="A70" s="9" t="s">
        <v>11</v>
      </c>
      <c r="B70" s="9"/>
      <c r="C70" s="16"/>
      <c r="D70" s="16"/>
      <c r="E70" s="9"/>
    </row>
    <row r="71" spans="1:9" ht="15.75" customHeight="1">
      <c r="A71" s="11" t="s">
        <v>13</v>
      </c>
      <c r="B71" s="12">
        <f>'Tejidos romboidales'!K16</f>
        <v>46820</v>
      </c>
      <c r="C71" s="14"/>
      <c r="D71" s="15">
        <f t="shared" ref="D71:D74" si="22">B71*121%</f>
        <v>56652.2</v>
      </c>
      <c r="E71" s="14" t="s">
        <v>7</v>
      </c>
      <c r="I71" s="4">
        <f>B71/2</f>
        <v>23410</v>
      </c>
    </row>
    <row r="72" spans="1:9" ht="15.75" customHeight="1">
      <c r="A72" s="11" t="s">
        <v>15</v>
      </c>
      <c r="B72" s="12">
        <f>'Tejidos romboidales'!K21</f>
        <v>56930</v>
      </c>
      <c r="C72" s="14"/>
      <c r="D72" s="15">
        <f t="shared" si="22"/>
        <v>68885.3</v>
      </c>
      <c r="E72" s="14" t="s">
        <v>7</v>
      </c>
    </row>
    <row r="73" spans="1:9" ht="15.75" customHeight="1">
      <c r="A73" s="11" t="s">
        <v>16</v>
      </c>
      <c r="B73" s="12">
        <f>'Tejidos romboidales'!K26</f>
        <v>46950</v>
      </c>
      <c r="C73" s="14"/>
      <c r="D73" s="15">
        <f t="shared" si="22"/>
        <v>56809.5</v>
      </c>
      <c r="E73" s="14" t="s">
        <v>7</v>
      </c>
    </row>
    <row r="74" spans="1:9" ht="15.75" customHeight="1">
      <c r="A74" s="11" t="s">
        <v>17</v>
      </c>
      <c r="B74" s="12">
        <f>'Tejidos romboidales'!K31</f>
        <v>55170</v>
      </c>
      <c r="C74" s="14"/>
      <c r="D74" s="15">
        <f t="shared" si="22"/>
        <v>66755.7</v>
      </c>
      <c r="E74" s="14" t="s">
        <v>7</v>
      </c>
    </row>
    <row r="75" spans="1:9" ht="15.75" customHeight="1">
      <c r="A75" s="9" t="s">
        <v>18</v>
      </c>
      <c r="B75" s="9"/>
      <c r="C75" s="16"/>
      <c r="D75" s="16"/>
      <c r="E75" s="16"/>
    </row>
    <row r="76" spans="1:9" ht="15.75" customHeight="1">
      <c r="A76" s="11" t="s">
        <v>19</v>
      </c>
      <c r="B76" s="12">
        <f>'Tejidos romboidales'!K36</f>
        <v>69130</v>
      </c>
      <c r="C76" s="14"/>
      <c r="D76" s="15">
        <f t="shared" ref="D76:D77" si="23">B76*121%</f>
        <v>83647.3</v>
      </c>
      <c r="E76" s="14" t="s">
        <v>7</v>
      </c>
    </row>
    <row r="77" spans="1:9" ht="15.75" customHeight="1">
      <c r="A77" s="11" t="s">
        <v>20</v>
      </c>
      <c r="B77" s="12">
        <f>'Tejidos romboidales'!K41</f>
        <v>74860</v>
      </c>
      <c r="C77" s="14"/>
      <c r="D77" s="15">
        <f t="shared" si="23"/>
        <v>90580.599999999991</v>
      </c>
      <c r="E77" s="14" t="s">
        <v>7</v>
      </c>
    </row>
    <row r="78" spans="1:9" ht="15.75" customHeight="1">
      <c r="A78" s="11"/>
      <c r="B78" s="12"/>
      <c r="C78" s="17"/>
      <c r="D78" s="17"/>
      <c r="E78" s="17"/>
    </row>
    <row r="79" spans="1:9" ht="15.75" customHeight="1">
      <c r="A79" s="85" t="s">
        <v>21</v>
      </c>
      <c r="B79" s="86"/>
      <c r="C79" s="86"/>
      <c r="D79" s="86"/>
      <c r="E79" s="79"/>
    </row>
    <row r="80" spans="1:9" ht="15.75" customHeight="1">
      <c r="A80" s="4"/>
    </row>
    <row r="81" spans="1:2" ht="15.75" customHeight="1">
      <c r="A81" s="4"/>
    </row>
    <row r="82" spans="1:2" ht="15.75" customHeight="1">
      <c r="A82" s="80" t="s">
        <v>28</v>
      </c>
      <c r="B82" s="79"/>
    </row>
    <row r="83" spans="1:2" ht="15.75" customHeight="1">
      <c r="A83" s="11" t="s">
        <v>29</v>
      </c>
      <c r="B83" s="12" t="e">
        <f>'Tejidos romboidales'!#REF!</f>
        <v>#REF!</v>
      </c>
    </row>
    <row r="84" spans="1:2" ht="15.75" customHeight="1">
      <c r="A84" s="11" t="s">
        <v>30</v>
      </c>
      <c r="B84" s="12" t="e">
        <f>'Tejidos romboidales'!#REF!</f>
        <v>#REF!</v>
      </c>
    </row>
    <row r="85" spans="1:2" ht="15.75" customHeight="1">
      <c r="A85" s="11" t="s">
        <v>31</v>
      </c>
      <c r="B85" s="12" t="e">
        <f>'Tejidos romboidales'!#REF!</f>
        <v>#REF!</v>
      </c>
    </row>
    <row r="86" spans="1:2" ht="15.75" customHeight="1">
      <c r="A86" s="11" t="s">
        <v>32</v>
      </c>
      <c r="B86" s="12" t="e">
        <f>'Tejidos romboidales'!#REF!</f>
        <v>#REF!</v>
      </c>
    </row>
    <row r="87" spans="1:2" ht="15.75" customHeight="1">
      <c r="A87" s="11"/>
      <c r="B87" s="12"/>
    </row>
    <row r="88" spans="1:2" ht="15.75" customHeight="1">
      <c r="A88" s="85" t="s">
        <v>21</v>
      </c>
      <c r="B88" s="79"/>
    </row>
    <row r="89" spans="1:2" ht="15.75" customHeight="1">
      <c r="A89" s="4"/>
    </row>
    <row r="90" spans="1:2" ht="15.75" customHeight="1">
      <c r="A90" s="4"/>
    </row>
    <row r="91" spans="1:2" ht="15.75" customHeight="1">
      <c r="A91" s="80" t="s">
        <v>33</v>
      </c>
      <c r="B91" s="79"/>
    </row>
    <row r="92" spans="1:2" ht="15.75" customHeight="1">
      <c r="A92" s="11" t="s">
        <v>29</v>
      </c>
      <c r="B92" s="12" t="e">
        <f>'Tejidos romboidales'!#REF!</f>
        <v>#REF!</v>
      </c>
    </row>
    <row r="93" spans="1:2" ht="15.75" customHeight="1">
      <c r="A93" s="11" t="s">
        <v>30</v>
      </c>
      <c r="B93" s="12" t="e">
        <f>'Tejidos romboidales'!#REF!</f>
        <v>#REF!</v>
      </c>
    </row>
    <row r="94" spans="1:2" ht="15.75" customHeight="1">
      <c r="A94" s="11" t="s">
        <v>31</v>
      </c>
      <c r="B94" s="12" t="e">
        <f>'Tejidos romboidales'!#REF!</f>
        <v>#REF!</v>
      </c>
    </row>
    <row r="95" spans="1:2" ht="15.75" customHeight="1">
      <c r="A95" s="11" t="s">
        <v>32</v>
      </c>
      <c r="B95" s="12" t="e">
        <f>'Tejidos romboidales'!#REF!</f>
        <v>#REF!</v>
      </c>
    </row>
    <row r="96" spans="1:2" ht="15.75" customHeight="1">
      <c r="A96" s="11"/>
      <c r="B96" s="12"/>
    </row>
    <row r="97" spans="1:2" ht="15.75" customHeight="1">
      <c r="A97" s="85" t="s">
        <v>21</v>
      </c>
      <c r="B97" s="79"/>
    </row>
    <row r="98" spans="1:2" ht="15.75" customHeight="1">
      <c r="A98" s="4"/>
    </row>
    <row r="99" spans="1:2" ht="15.75" customHeight="1">
      <c r="A99" s="4"/>
    </row>
    <row r="100" spans="1:2" ht="15.75" customHeight="1">
      <c r="A100" s="80" t="s">
        <v>34</v>
      </c>
      <c r="B100" s="79"/>
    </row>
    <row r="101" spans="1:2" ht="15.75" customHeight="1">
      <c r="A101" s="11" t="s">
        <v>29</v>
      </c>
      <c r="B101" s="12" t="e">
        <f>'Tejidos romboidales'!#REF!</f>
        <v>#REF!</v>
      </c>
    </row>
    <row r="102" spans="1:2" ht="15.75" customHeight="1">
      <c r="A102" s="11" t="s">
        <v>30</v>
      </c>
      <c r="B102" s="12" t="e">
        <f>'Tejidos romboidales'!#REF!</f>
        <v>#REF!</v>
      </c>
    </row>
    <row r="103" spans="1:2" ht="15.75" customHeight="1">
      <c r="A103" s="11" t="s">
        <v>31</v>
      </c>
      <c r="B103" s="12" t="e">
        <f>'Tejidos romboidales'!#REF!</f>
        <v>#REF!</v>
      </c>
    </row>
    <row r="104" spans="1:2" ht="15.75" customHeight="1">
      <c r="A104" s="11" t="s">
        <v>32</v>
      </c>
      <c r="B104" s="12" t="e">
        <f>'Tejidos romboidales'!#REF!</f>
        <v>#REF!</v>
      </c>
    </row>
    <row r="105" spans="1:2" ht="15.75" customHeight="1">
      <c r="A105" s="11"/>
      <c r="B105" s="12"/>
    </row>
    <row r="106" spans="1:2" ht="15.75" customHeight="1">
      <c r="A106" s="85" t="s">
        <v>21</v>
      </c>
      <c r="B106" s="79"/>
    </row>
    <row r="107" spans="1:2" ht="15.75" customHeight="1">
      <c r="A107" s="4"/>
    </row>
    <row r="108" spans="1:2" ht="15.75" customHeight="1">
      <c r="A108" s="4"/>
    </row>
    <row r="109" spans="1:2" ht="15.75" customHeight="1">
      <c r="A109" s="80" t="s">
        <v>35</v>
      </c>
      <c r="B109" s="79"/>
    </row>
    <row r="110" spans="1:2" ht="15.75" customHeight="1">
      <c r="A110" s="11" t="s">
        <v>29</v>
      </c>
      <c r="B110" s="12" t="e">
        <f>'Tejidos romboidales'!#REF!</f>
        <v>#REF!</v>
      </c>
    </row>
    <row r="111" spans="1:2" ht="15.75" customHeight="1">
      <c r="A111" s="11" t="s">
        <v>30</v>
      </c>
      <c r="B111" s="12" t="e">
        <f>'Tejidos romboidales'!#REF!</f>
        <v>#REF!</v>
      </c>
    </row>
    <row r="112" spans="1:2" ht="15.75" customHeight="1">
      <c r="A112" s="11" t="s">
        <v>31</v>
      </c>
      <c r="B112" s="12" t="e">
        <f>'Tejidos romboidales'!#REF!</f>
        <v>#REF!</v>
      </c>
    </row>
    <row r="113" spans="1:2" ht="15.75" customHeight="1">
      <c r="A113" s="11" t="s">
        <v>32</v>
      </c>
      <c r="B113" s="12" t="e">
        <f>'Tejidos romboidales'!#REF!</f>
        <v>#REF!</v>
      </c>
    </row>
    <row r="114" spans="1:2" ht="15.75" customHeight="1">
      <c r="A114" s="11"/>
      <c r="B114" s="12"/>
    </row>
    <row r="115" spans="1:2" ht="15.75" customHeight="1">
      <c r="A115" s="85" t="s">
        <v>21</v>
      </c>
      <c r="B115" s="79"/>
    </row>
    <row r="116" spans="1:2" ht="15.75" customHeight="1">
      <c r="A116" s="4"/>
    </row>
    <row r="117" spans="1:2" ht="15.75" customHeight="1">
      <c r="A117" s="4"/>
    </row>
    <row r="118" spans="1:2" ht="15.75" customHeight="1">
      <c r="A118" s="80" t="s">
        <v>36</v>
      </c>
      <c r="B118" s="79"/>
    </row>
    <row r="119" spans="1:2" ht="15.75" customHeight="1">
      <c r="A119" s="11" t="s">
        <v>29</v>
      </c>
      <c r="B119" s="12" t="e">
        <f>'Tejidos romboidales'!#REF!</f>
        <v>#REF!</v>
      </c>
    </row>
    <row r="120" spans="1:2" ht="15.75" customHeight="1">
      <c r="A120" s="11" t="s">
        <v>30</v>
      </c>
      <c r="B120" s="12" t="e">
        <f>'Tejidos romboidales'!#REF!</f>
        <v>#REF!</v>
      </c>
    </row>
    <row r="121" spans="1:2" ht="15.75" customHeight="1">
      <c r="A121" s="11" t="s">
        <v>31</v>
      </c>
      <c r="B121" s="12" t="e">
        <f>'Tejidos romboidales'!#REF!</f>
        <v>#REF!</v>
      </c>
    </row>
    <row r="122" spans="1:2" ht="15.75" customHeight="1">
      <c r="A122" s="11" t="s">
        <v>32</v>
      </c>
      <c r="B122" s="12" t="e">
        <f>'Tejidos romboidales'!#REF!</f>
        <v>#REF!</v>
      </c>
    </row>
    <row r="123" spans="1:2" ht="15.75" customHeight="1">
      <c r="A123" s="11"/>
      <c r="B123" s="12"/>
    </row>
    <row r="124" spans="1:2" ht="15.75" customHeight="1">
      <c r="A124" s="85" t="s">
        <v>21</v>
      </c>
      <c r="B124" s="79"/>
    </row>
    <row r="125" spans="1:2" ht="15.75" customHeight="1">
      <c r="A125" s="4"/>
      <c r="B125" s="4"/>
    </row>
    <row r="130" spans="1:2" ht="15.75" customHeight="1">
      <c r="A130" s="80" t="s">
        <v>37</v>
      </c>
      <c r="B130" s="79"/>
    </row>
    <row r="131" spans="1:2" ht="15.75" customHeight="1">
      <c r="A131" s="11" t="s">
        <v>38</v>
      </c>
      <c r="B131" s="12" t="e">
        <f>#REF!</f>
        <v>#REF!</v>
      </c>
    </row>
    <row r="132" spans="1:2" ht="15.75" customHeight="1">
      <c r="A132" s="11" t="s">
        <v>39</v>
      </c>
      <c r="B132" s="12" t="e">
        <f>#REF!</f>
        <v>#REF!</v>
      </c>
    </row>
    <row r="133" spans="1:2" ht="15.75" customHeight="1">
      <c r="A133" s="11" t="s">
        <v>40</v>
      </c>
      <c r="B133" s="12" t="e">
        <f>#REF!</f>
        <v>#REF!</v>
      </c>
    </row>
    <row r="134" spans="1:2" ht="15.75" customHeight="1">
      <c r="A134" s="11" t="s">
        <v>41</v>
      </c>
      <c r="B134" s="12" t="e">
        <f>#REF!</f>
        <v>#REF!</v>
      </c>
    </row>
    <row r="135" spans="1:2" ht="15.75" customHeight="1"/>
    <row r="136" spans="1:2" ht="15.75" customHeight="1">
      <c r="A136" s="80" t="s">
        <v>42</v>
      </c>
      <c r="B136" s="79"/>
    </row>
    <row r="137" spans="1:2" ht="15.75" customHeight="1">
      <c r="A137" s="11" t="s">
        <v>38</v>
      </c>
      <c r="B137" s="12" t="e">
        <f>#REF!</f>
        <v>#REF!</v>
      </c>
    </row>
    <row r="138" spans="1:2" ht="15.75" customHeight="1">
      <c r="A138" s="11" t="s">
        <v>39</v>
      </c>
      <c r="B138" s="12" t="e">
        <f>#REF!</f>
        <v>#REF!</v>
      </c>
    </row>
    <row r="139" spans="1:2" ht="15.75" customHeight="1">
      <c r="A139" s="11" t="s">
        <v>43</v>
      </c>
      <c r="B139" s="12" t="e">
        <f>#REF!</f>
        <v>#REF!</v>
      </c>
    </row>
    <row r="140" spans="1:2" ht="15.75" customHeight="1">
      <c r="A140" s="11" t="s">
        <v>44</v>
      </c>
      <c r="B140" s="12" t="e">
        <f>#REF!</f>
        <v>#REF!</v>
      </c>
    </row>
    <row r="141" spans="1:2" ht="15.75" customHeight="1"/>
    <row r="142" spans="1:2" ht="15.75" customHeight="1">
      <c r="A142" s="80" t="s">
        <v>45</v>
      </c>
      <c r="B142" s="79"/>
    </row>
    <row r="143" spans="1:2" ht="15.75" customHeight="1">
      <c r="A143" s="11" t="s">
        <v>38</v>
      </c>
      <c r="B143" s="12">
        <v>32000</v>
      </c>
    </row>
    <row r="144" spans="1:2" ht="15.75" customHeight="1">
      <c r="A144" s="11" t="s">
        <v>39</v>
      </c>
      <c r="B144" s="12">
        <v>29000</v>
      </c>
    </row>
    <row r="145" spans="1:2" ht="15.75" customHeight="1">
      <c r="A145" s="11" t="s">
        <v>43</v>
      </c>
      <c r="B145" s="12">
        <v>25000</v>
      </c>
    </row>
    <row r="146" spans="1:2" ht="15.75" customHeight="1">
      <c r="A146" s="11" t="s">
        <v>44</v>
      </c>
      <c r="B146" s="12">
        <v>22950</v>
      </c>
    </row>
    <row r="147" spans="1:2" ht="15.75" customHeight="1"/>
    <row r="148" spans="1:2" ht="15.75" customHeight="1"/>
    <row r="149" spans="1:2" ht="14.4">
      <c r="A149" s="80" t="s">
        <v>46</v>
      </c>
      <c r="B149" s="79"/>
    </row>
    <row r="150" spans="1:2" ht="15.75" customHeight="1">
      <c r="A150" s="11" t="s">
        <v>38</v>
      </c>
      <c r="B150" s="12" t="e">
        <f>#REF!</f>
        <v>#REF!</v>
      </c>
    </row>
    <row r="151" spans="1:2" ht="15.75" customHeight="1">
      <c r="A151" s="11" t="s">
        <v>39</v>
      </c>
      <c r="B151" s="12" t="e">
        <f>#REF!</f>
        <v>#REF!</v>
      </c>
    </row>
    <row r="152" spans="1:2" ht="15.75" customHeight="1">
      <c r="A152" s="11" t="s">
        <v>43</v>
      </c>
      <c r="B152" s="12" t="e">
        <f>#REF!</f>
        <v>#REF!</v>
      </c>
    </row>
    <row r="153" spans="1:2" ht="15.75" customHeight="1">
      <c r="A153" s="11" t="s">
        <v>44</v>
      </c>
      <c r="B153" s="12" t="e">
        <f>#REF!</f>
        <v>#REF!</v>
      </c>
    </row>
    <row r="154" spans="1:2" ht="15.75" customHeight="1"/>
    <row r="155" spans="1:2" ht="14.4">
      <c r="A155" s="80" t="s">
        <v>47</v>
      </c>
      <c r="B155" s="79"/>
    </row>
    <row r="156" spans="1:2" ht="14.4">
      <c r="A156" s="11" t="s">
        <v>38</v>
      </c>
      <c r="B156" s="12" t="e">
        <f>#REF!</f>
        <v>#REF!</v>
      </c>
    </row>
    <row r="157" spans="1:2" ht="14.4">
      <c r="A157" s="11" t="s">
        <v>43</v>
      </c>
      <c r="B157" s="12" t="e">
        <f>#REF!</f>
        <v>#REF!</v>
      </c>
    </row>
    <row r="158" spans="1:2" ht="14.4">
      <c r="A158" s="11" t="s">
        <v>44</v>
      </c>
      <c r="B158" s="12" t="e">
        <f>#REF!</f>
        <v>#REF!</v>
      </c>
    </row>
    <row r="159" spans="1:2">
      <c r="A159" s="5"/>
      <c r="B159" s="5"/>
    </row>
    <row r="160" spans="1:2" ht="14.4">
      <c r="A160" s="80" t="s">
        <v>48</v>
      </c>
      <c r="B160" s="79"/>
    </row>
    <row r="161" spans="1:3" ht="15.75" customHeight="1">
      <c r="A161" s="11" t="s">
        <v>38</v>
      </c>
      <c r="B161" s="12" t="e">
        <f>#REF!</f>
        <v>#REF!</v>
      </c>
      <c r="C161" s="4">
        <v>31100</v>
      </c>
    </row>
    <row r="162" spans="1:3" ht="15.75" customHeight="1">
      <c r="A162" s="11" t="s">
        <v>43</v>
      </c>
      <c r="B162" s="12" t="e">
        <f>#REF!</f>
        <v>#REF!</v>
      </c>
    </row>
    <row r="163" spans="1:3" ht="15.75" customHeight="1">
      <c r="A163" s="11" t="s">
        <v>44</v>
      </c>
      <c r="B163" s="12" t="e">
        <f>#REF!</f>
        <v>#REF!</v>
      </c>
    </row>
    <row r="164" spans="1:3" ht="15.75" customHeight="1">
      <c r="A164" s="4"/>
    </row>
    <row r="165" spans="1:3" ht="15.75" customHeight="1">
      <c r="A165" s="80" t="s">
        <v>49</v>
      </c>
      <c r="B165" s="79"/>
    </row>
    <row r="166" spans="1:3" ht="15.75" customHeight="1">
      <c r="A166" s="11" t="s">
        <v>38</v>
      </c>
      <c r="B166" s="12" t="e">
        <f t="shared" ref="B166:B167" si="24">B161</f>
        <v>#REF!</v>
      </c>
    </row>
    <row r="167" spans="1:3" ht="15.75" customHeight="1">
      <c r="A167" s="11" t="s">
        <v>43</v>
      </c>
      <c r="B167" s="12" t="e">
        <f t="shared" si="24"/>
        <v>#REF!</v>
      </c>
    </row>
    <row r="168" spans="1:3" ht="15.75" customHeight="1">
      <c r="A168" s="4"/>
    </row>
    <row r="169" spans="1:3" ht="15.75" customHeight="1">
      <c r="A169" s="80" t="s">
        <v>50</v>
      </c>
      <c r="B169" s="79"/>
    </row>
    <row r="170" spans="1:3" ht="15.75" customHeight="1">
      <c r="A170" s="11" t="s">
        <v>51</v>
      </c>
      <c r="B170" s="12" t="e">
        <f>#REF!</f>
        <v>#REF!</v>
      </c>
    </row>
    <row r="171" spans="1:3" ht="15.75" customHeight="1">
      <c r="A171" s="11" t="s">
        <v>52</v>
      </c>
      <c r="B171" s="12" t="e">
        <f>#REF!</f>
        <v>#REF!</v>
      </c>
    </row>
    <row r="172" spans="1:3" ht="15.75" customHeight="1">
      <c r="A172" s="4"/>
    </row>
    <row r="173" spans="1:3" ht="15.75" customHeight="1">
      <c r="A173" s="80" t="s">
        <v>53</v>
      </c>
      <c r="B173" s="79"/>
    </row>
    <row r="174" spans="1:3" ht="15.75" customHeight="1">
      <c r="A174" s="11" t="s">
        <v>54</v>
      </c>
      <c r="B174" s="12" t="e">
        <f>#REF!</f>
        <v>#REF!</v>
      </c>
    </row>
    <row r="175" spans="1:3" ht="15.75" customHeight="1">
      <c r="A175" s="11" t="s">
        <v>40</v>
      </c>
      <c r="B175" s="12" t="e">
        <f>#REF!</f>
        <v>#REF!</v>
      </c>
    </row>
    <row r="176" spans="1:3" ht="15.75" customHeight="1">
      <c r="A176" s="11" t="s">
        <v>44</v>
      </c>
      <c r="B176" s="12" t="e">
        <f>#REF!</f>
        <v>#REF!</v>
      </c>
    </row>
    <row r="177" spans="1:7" ht="15.75" customHeight="1">
      <c r="A177" s="4"/>
    </row>
    <row r="178" spans="1:7" ht="15.75" customHeight="1">
      <c r="A178" s="80" t="s">
        <v>55</v>
      </c>
      <c r="B178" s="79"/>
    </row>
    <row r="179" spans="1:7" ht="15.75" customHeight="1">
      <c r="A179" s="11" t="s">
        <v>38</v>
      </c>
      <c r="B179" s="12" t="e">
        <f>#REF!</f>
        <v>#REF!</v>
      </c>
    </row>
    <row r="180" spans="1:7" ht="15.75" customHeight="1">
      <c r="A180" s="11" t="s">
        <v>43</v>
      </c>
      <c r="B180" s="12" t="e">
        <f>#REF!</f>
        <v>#REF!</v>
      </c>
    </row>
    <row r="181" spans="1:7" ht="15.75" customHeight="1">
      <c r="A181" s="11" t="s">
        <v>44</v>
      </c>
      <c r="B181" s="12" t="e">
        <f>#REF!</f>
        <v>#REF!</v>
      </c>
    </row>
    <row r="182" spans="1:7" ht="15.75" customHeight="1">
      <c r="A182" s="4"/>
    </row>
    <row r="183" spans="1:7" ht="15.75" customHeight="1">
      <c r="A183" s="80" t="s">
        <v>56</v>
      </c>
      <c r="B183" s="79"/>
    </row>
    <row r="184" spans="1:7" ht="15.75" customHeight="1">
      <c r="A184" s="11" t="s">
        <v>38</v>
      </c>
      <c r="B184" s="12" t="e">
        <f>#REF!</f>
        <v>#REF!</v>
      </c>
    </row>
    <row r="185" spans="1:7" ht="15.75" customHeight="1">
      <c r="A185" s="11" t="s">
        <v>43</v>
      </c>
      <c r="B185" s="12" t="e">
        <f>#REF!</f>
        <v>#REF!</v>
      </c>
    </row>
    <row r="186" spans="1:7" ht="15.75" customHeight="1">
      <c r="A186" s="4"/>
    </row>
    <row r="187" spans="1:7" ht="15.75" customHeight="1">
      <c r="A187" s="80" t="s">
        <v>57</v>
      </c>
      <c r="B187" s="79"/>
      <c r="C187" s="22" t="s">
        <v>58</v>
      </c>
    </row>
    <row r="188" spans="1:7" ht="15.75" customHeight="1">
      <c r="A188" s="4" t="s">
        <v>59</v>
      </c>
      <c r="B188" s="23">
        <f>Articulos!F9</f>
        <v>3105.4799999999996</v>
      </c>
      <c r="C188" s="23">
        <f t="shared" ref="C188:C200" si="25">B188*1.45</f>
        <v>4502.945999999999</v>
      </c>
    </row>
    <row r="189" spans="1:7" ht="15.75" customHeight="1">
      <c r="A189" s="4" t="s">
        <v>60</v>
      </c>
      <c r="B189" s="23">
        <f>Articulos!F6+100</f>
        <v>16469.359999999997</v>
      </c>
      <c r="C189" s="23">
        <f t="shared" si="25"/>
        <v>23880.571999999996</v>
      </c>
      <c r="D189" s="4"/>
      <c r="E189" s="4">
        <f>B189/5</f>
        <v>3293.8719999999994</v>
      </c>
      <c r="F189" s="4"/>
      <c r="G189" s="4"/>
    </row>
    <row r="190" spans="1:7" ht="15.75" customHeight="1">
      <c r="A190" s="4" t="s">
        <v>61</v>
      </c>
      <c r="B190" s="23">
        <f>Articulos!F7</f>
        <v>5456.4533333333338</v>
      </c>
      <c r="C190" s="23">
        <f t="shared" si="25"/>
        <v>7911.8573333333334</v>
      </c>
    </row>
    <row r="191" spans="1:7" ht="15.75" customHeight="1">
      <c r="A191" s="4" t="s">
        <v>62</v>
      </c>
      <c r="B191" s="23">
        <f>Articulos!F11</f>
        <v>1297.8</v>
      </c>
      <c r="C191" s="23">
        <f t="shared" si="25"/>
        <v>1881.81</v>
      </c>
    </row>
    <row r="192" spans="1:7" ht="15.75" customHeight="1">
      <c r="A192" s="4" t="s">
        <v>63</v>
      </c>
      <c r="B192" s="23">
        <f>Articulos!F12</f>
        <v>844.2</v>
      </c>
      <c r="C192" s="23">
        <f t="shared" si="25"/>
        <v>1224.0899999999999</v>
      </c>
      <c r="D192" s="4">
        <v>372</v>
      </c>
    </row>
    <row r="193" spans="1:7" ht="15.75" customHeight="1">
      <c r="A193" s="4" t="s">
        <v>64</v>
      </c>
      <c r="B193" s="23">
        <f>Articulos!F13</f>
        <v>876.39999999999986</v>
      </c>
      <c r="C193" s="23">
        <f t="shared" si="25"/>
        <v>1270.7799999999997</v>
      </c>
      <c r="D193" s="4"/>
      <c r="E193" s="4"/>
      <c r="F193" s="4"/>
      <c r="G193" s="4"/>
    </row>
    <row r="194" spans="1:7" ht="15.75" customHeight="1">
      <c r="A194" s="4" t="s">
        <v>65</v>
      </c>
      <c r="B194" s="23">
        <f>Articulos!F14</f>
        <v>1329.9999999999998</v>
      </c>
      <c r="C194" s="23">
        <f t="shared" si="25"/>
        <v>1928.4999999999995</v>
      </c>
      <c r="D194" s="4"/>
      <c r="E194" s="4"/>
      <c r="F194" s="4"/>
      <c r="G194" s="4"/>
    </row>
    <row r="195" spans="1:7" ht="15.75" customHeight="1">
      <c r="A195" s="4" t="s">
        <v>66</v>
      </c>
      <c r="B195" s="23">
        <f>Articulos!F21</f>
        <v>229.70779999999996</v>
      </c>
      <c r="C195" s="23">
        <f t="shared" si="25"/>
        <v>333.07630999999992</v>
      </c>
      <c r="D195" s="4"/>
      <c r="E195" s="4"/>
      <c r="F195" s="4"/>
      <c r="G195" s="4"/>
    </row>
    <row r="196" spans="1:7" ht="15.75" customHeight="1">
      <c r="A196" s="4" t="s">
        <v>67</v>
      </c>
      <c r="B196" s="23">
        <f>Articulos!F15</f>
        <v>43819.999999999993</v>
      </c>
      <c r="C196" s="23">
        <f t="shared" si="25"/>
        <v>63538.999999999985</v>
      </c>
      <c r="D196" s="4"/>
      <c r="E196" s="4"/>
      <c r="F196" s="4"/>
      <c r="G196" s="4"/>
    </row>
    <row r="197" spans="1:7" ht="15.75" customHeight="1">
      <c r="A197" s="4" t="s">
        <v>68</v>
      </c>
      <c r="B197" s="23">
        <f>Articulos!F16</f>
        <v>165620</v>
      </c>
      <c r="C197" s="23">
        <f t="shared" si="25"/>
        <v>240149</v>
      </c>
    </row>
    <row r="198" spans="1:7" ht="15.75" customHeight="1">
      <c r="A198" s="4" t="s">
        <v>69</v>
      </c>
      <c r="B198" s="23">
        <f>Articulos!F17</f>
        <v>438.19999999999993</v>
      </c>
      <c r="C198" s="23">
        <f t="shared" si="25"/>
        <v>635.38999999999987</v>
      </c>
    </row>
    <row r="199" spans="1:7" ht="15.75" customHeight="1">
      <c r="A199" s="4" t="s">
        <v>70</v>
      </c>
      <c r="B199" s="23">
        <f>Articulos!F22</f>
        <v>4356.2119999999995</v>
      </c>
      <c r="C199" s="23">
        <f t="shared" si="25"/>
        <v>6316.5073999999995</v>
      </c>
    </row>
    <row r="200" spans="1:7" ht="15.75" customHeight="1">
      <c r="A200" s="4" t="s">
        <v>71</v>
      </c>
      <c r="B200" s="23">
        <f>Articulos!F23</f>
        <v>4467.8059999999996</v>
      </c>
      <c r="C200" s="23">
        <f t="shared" si="25"/>
        <v>6478.3186999999989</v>
      </c>
    </row>
    <row r="201" spans="1:7" ht="15.75" customHeight="1">
      <c r="A201" s="4" t="s">
        <v>72</v>
      </c>
      <c r="B201" s="23">
        <f>Articulos!F41</f>
        <v>4792.8440000000001</v>
      </c>
    </row>
    <row r="202" spans="1:7" ht="15.75" customHeight="1">
      <c r="A202" s="4" t="s">
        <v>73</v>
      </c>
      <c r="B202" s="23">
        <f>Articulos!F42</f>
        <v>30239.999999999996</v>
      </c>
    </row>
    <row r="203" spans="1:7" ht="15.75" customHeight="1">
      <c r="A203" s="4" t="s">
        <v>74</v>
      </c>
      <c r="B203" s="23">
        <f>Articulos!F43</f>
        <v>30239.999999999996</v>
      </c>
    </row>
    <row r="204" spans="1:7" ht="15.75" customHeight="1">
      <c r="A204" s="4" t="s">
        <v>75</v>
      </c>
      <c r="B204" s="23">
        <f>Articulos!F44</f>
        <v>11438</v>
      </c>
    </row>
    <row r="205" spans="1:7" ht="15.75" customHeight="1">
      <c r="A205" s="4" t="s">
        <v>76</v>
      </c>
      <c r="B205" s="23">
        <f>Articulos!F45</f>
        <v>3580.4999999999991</v>
      </c>
    </row>
    <row r="206" spans="1:7" ht="15.75" customHeight="1">
      <c r="A206" s="4" t="s">
        <v>77</v>
      </c>
      <c r="B206" s="23">
        <f>Articulos!F46</f>
        <v>18199.999999999996</v>
      </c>
    </row>
    <row r="207" spans="1:7" ht="15.75" customHeight="1">
      <c r="A207" s="4" t="s">
        <v>78</v>
      </c>
      <c r="B207" s="23">
        <v>20000</v>
      </c>
    </row>
    <row r="208" spans="1:7" ht="15.75" customHeight="1">
      <c r="A208" s="4" t="s">
        <v>79</v>
      </c>
      <c r="B208" s="23">
        <f>Articulos!F48</f>
        <v>0</v>
      </c>
    </row>
    <row r="209" spans="1:7" ht="15.75" customHeight="1">
      <c r="A209" s="4" t="s">
        <v>80</v>
      </c>
      <c r="B209" s="23">
        <f>Articulos!F50</f>
        <v>3541.9999999999995</v>
      </c>
    </row>
    <row r="210" spans="1:7" ht="15.75" customHeight="1">
      <c r="A210" s="4" t="s">
        <v>81</v>
      </c>
      <c r="B210" s="23">
        <f>Articulos!F51</f>
        <v>12598.599999999999</v>
      </c>
    </row>
    <row r="211" spans="1:7" ht="15.75" customHeight="1">
      <c r="A211" s="4" t="s">
        <v>82</v>
      </c>
      <c r="B211" s="23">
        <f>Articulos!F52</f>
        <v>14069.999999999998</v>
      </c>
    </row>
    <row r="212" spans="1:7" ht="15.75" customHeight="1">
      <c r="A212" s="4" t="s">
        <v>83</v>
      </c>
      <c r="B212" s="23">
        <f>Articulos!F49</f>
        <v>4547.0459999999994</v>
      </c>
    </row>
    <row r="213" spans="1:7" ht="15.75" customHeight="1"/>
    <row r="214" spans="1:7" ht="15.75" customHeight="1">
      <c r="A214" s="80" t="s">
        <v>84</v>
      </c>
      <c r="B214" s="79"/>
    </row>
    <row r="215" spans="1:7" ht="15.75" customHeight="1">
      <c r="A215" s="24" t="e">
        <f>#REF!</f>
        <v>#REF!</v>
      </c>
      <c r="B215" s="25" t="e">
        <f>#REF!</f>
        <v>#REF!</v>
      </c>
      <c r="C215" s="4"/>
      <c r="D215" s="4"/>
      <c r="E215" s="4" t="s">
        <v>85</v>
      </c>
      <c r="F215" s="4"/>
      <c r="G215" s="4"/>
    </row>
    <row r="216" spans="1:7" ht="15.75" customHeight="1">
      <c r="A216" s="24" t="e">
        <f>#REF!</f>
        <v>#REF!</v>
      </c>
      <c r="B216" s="25" t="e">
        <f>#REF!</f>
        <v>#REF!</v>
      </c>
      <c r="C216" s="4"/>
      <c r="D216" s="4"/>
      <c r="E216" s="4" t="s">
        <v>85</v>
      </c>
      <c r="F216" s="4"/>
      <c r="G216" s="4"/>
    </row>
    <row r="217" spans="1:7" ht="15.75" customHeight="1">
      <c r="A217" s="24" t="e">
        <f>#REF!</f>
        <v>#REF!</v>
      </c>
      <c r="B217" s="25" t="e">
        <f>#REF!</f>
        <v>#REF!</v>
      </c>
    </row>
    <row r="218" spans="1:7" ht="15.75" customHeight="1">
      <c r="A218" s="24" t="e">
        <f>#REF!</f>
        <v>#REF!</v>
      </c>
      <c r="B218" s="25" t="e">
        <f>#REF!</f>
        <v>#REF!</v>
      </c>
    </row>
    <row r="219" spans="1:7" ht="15.75" customHeight="1"/>
    <row r="220" spans="1:7" ht="15.75" customHeight="1"/>
    <row r="221" spans="1:7" ht="15.75" customHeight="1">
      <c r="A221" s="80" t="s">
        <v>86</v>
      </c>
      <c r="B221" s="79"/>
    </row>
    <row r="222" spans="1:7" ht="15.75" customHeight="1">
      <c r="A222" s="4" t="s">
        <v>87</v>
      </c>
      <c r="B222" s="26">
        <v>24</v>
      </c>
    </row>
    <row r="223" spans="1:7" ht="15.75" customHeight="1">
      <c r="A223" s="4" t="s">
        <v>88</v>
      </c>
      <c r="B223" s="4">
        <v>5</v>
      </c>
    </row>
    <row r="224" spans="1:7" ht="15.75" customHeight="1">
      <c r="A224" s="4" t="s">
        <v>89</v>
      </c>
      <c r="B224" s="27">
        <v>168</v>
      </c>
    </row>
    <row r="225" spans="1:2" ht="15.75" customHeight="1">
      <c r="A225" s="28" t="s">
        <v>90</v>
      </c>
      <c r="B225" s="29">
        <f>(B222/B223)*B224+100</f>
        <v>906.4</v>
      </c>
    </row>
    <row r="226" spans="1:2" ht="15.75" customHeight="1"/>
    <row r="227" spans="1:2" ht="15.75" customHeight="1"/>
    <row r="228" spans="1:2" ht="15.75" customHeight="1"/>
    <row r="229" spans="1:2" ht="15.75" customHeight="1"/>
    <row r="230" spans="1:2" ht="15.75" customHeight="1"/>
    <row r="231" spans="1:2" ht="15.75" customHeight="1"/>
    <row r="232" spans="1:2" ht="15.75" customHeight="1"/>
    <row r="233" spans="1:2" ht="15.75" customHeight="1"/>
    <row r="234" spans="1:2" ht="15.75" customHeight="1"/>
    <row r="235" spans="1:2" ht="15.75" customHeight="1"/>
    <row r="236" spans="1:2" ht="15.75" customHeight="1"/>
    <row r="237" spans="1:2" ht="15.75" customHeight="1"/>
    <row r="238" spans="1:2" ht="15.75" customHeight="1"/>
    <row r="239" spans="1:2" ht="15.75" customHeight="1"/>
    <row r="240" spans="1: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31">
    <mergeCell ref="A149:B149"/>
    <mergeCell ref="A187:B187"/>
    <mergeCell ref="A214:B214"/>
    <mergeCell ref="A221:B221"/>
    <mergeCell ref="A155:B155"/>
    <mergeCell ref="A160:B160"/>
    <mergeCell ref="A165:B165"/>
    <mergeCell ref="A169:B169"/>
    <mergeCell ref="A173:B173"/>
    <mergeCell ref="A178:B178"/>
    <mergeCell ref="A183:B183"/>
    <mergeCell ref="A118:B118"/>
    <mergeCell ref="A124:B124"/>
    <mergeCell ref="A130:B130"/>
    <mergeCell ref="A136:B136"/>
    <mergeCell ref="A142:B142"/>
    <mergeCell ref="A97:B97"/>
    <mergeCell ref="A100:B100"/>
    <mergeCell ref="A106:B106"/>
    <mergeCell ref="A109:B109"/>
    <mergeCell ref="A115:B115"/>
    <mergeCell ref="A66:B66"/>
    <mergeCell ref="A79:E79"/>
    <mergeCell ref="A82:B82"/>
    <mergeCell ref="A88:B88"/>
    <mergeCell ref="A91:B91"/>
    <mergeCell ref="I1:J2"/>
    <mergeCell ref="A2:B2"/>
    <mergeCell ref="A18:B18"/>
    <mergeCell ref="A34:B34"/>
    <mergeCell ref="A50:B50"/>
  </mergeCell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980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L2" sqref="L2"/>
    </sheetView>
  </sheetViews>
  <sheetFormatPr baseColWidth="10" defaultColWidth="14.41796875" defaultRowHeight="15" customHeight="1"/>
  <cols>
    <col min="1" max="1" width="14" customWidth="1"/>
    <col min="2" max="2" width="47.15625" customWidth="1"/>
    <col min="3" max="5" width="12.578125" customWidth="1"/>
    <col min="6" max="6" width="19.41796875" customWidth="1"/>
    <col min="7" max="7" width="11.83984375" customWidth="1"/>
    <col min="8" max="8" width="13.15625" customWidth="1"/>
    <col min="9" max="9" width="17.68359375" customWidth="1"/>
    <col min="10" max="10" width="12.83984375" customWidth="1"/>
    <col min="11" max="11" width="15.68359375" customWidth="1"/>
    <col min="12" max="12" width="21.5234375" bestFit="1" customWidth="1"/>
    <col min="13" max="13" width="4.68359375" customWidth="1"/>
  </cols>
  <sheetData>
    <row r="1" spans="1:13" ht="30" customHeight="1">
      <c r="A1" s="30" t="s">
        <v>91</v>
      </c>
      <c r="B1" s="30" t="s">
        <v>92</v>
      </c>
      <c r="C1" s="31" t="s">
        <v>93</v>
      </c>
      <c r="D1" s="32" t="s">
        <v>94</v>
      </c>
      <c r="E1" s="31" t="s">
        <v>95</v>
      </c>
      <c r="F1" s="30" t="s">
        <v>96</v>
      </c>
      <c r="G1" s="30" t="s">
        <v>97</v>
      </c>
      <c r="H1" s="30" t="s">
        <v>98</v>
      </c>
      <c r="I1" s="33" t="s">
        <v>99</v>
      </c>
      <c r="J1" s="34" t="s">
        <v>100</v>
      </c>
      <c r="K1" s="35">
        <v>0.3</v>
      </c>
      <c r="L1" s="36" t="s">
        <v>173</v>
      </c>
      <c r="M1" s="37"/>
    </row>
    <row r="2" spans="1:13" ht="19.5" customHeight="1">
      <c r="A2" s="38" t="str">
        <f t="shared" ref="A2:A41" si="0">"RC"&amp;C2&amp;"x"&amp;D2&amp;"x"&amp;E2</f>
        <v>RC14x3,5x2</v>
      </c>
      <c r="B2" s="38" t="str">
        <f t="shared" ref="B2:B41" si="1">"Calibre " &amp; C2 &amp; " Alt " &amp;E2&amp; "m" &amp; " con rombos de " &amp;D2</f>
        <v>Calibre 14 Alt 2m con rombos de 3,5</v>
      </c>
      <c r="C2" s="39">
        <v>14</v>
      </c>
      <c r="D2" s="40">
        <v>3.5</v>
      </c>
      <c r="E2" s="41">
        <v>2</v>
      </c>
      <c r="F2" s="41">
        <v>12</v>
      </c>
      <c r="G2" s="42">
        <f>Articulos!$E$4</f>
        <v>3135.77</v>
      </c>
      <c r="H2" s="43">
        <v>7600</v>
      </c>
      <c r="I2" s="44">
        <f t="shared" ref="I2:I37" si="2">F2*G2+H2</f>
        <v>45229.24</v>
      </c>
      <c r="J2" s="45">
        <f>I2*$K$1</f>
        <v>13568.771999999999</v>
      </c>
      <c r="K2" s="46">
        <f t="shared" ref="K2:K41" si="3">(I2+J2)-MOD((I2+J2),10)</f>
        <v>58790</v>
      </c>
      <c r="L2" s="47"/>
    </row>
    <row r="3" spans="1:13" ht="19.5" customHeight="1">
      <c r="A3" s="48" t="str">
        <f t="shared" si="0"/>
        <v>RC14x3,5x1,8</v>
      </c>
      <c r="B3" s="38" t="str">
        <f t="shared" si="1"/>
        <v>Calibre 14 Alt 1,8m con rombos de 3,5</v>
      </c>
      <c r="C3" s="49">
        <v>14</v>
      </c>
      <c r="D3" s="50">
        <v>3.5</v>
      </c>
      <c r="E3" s="51">
        <v>1.8</v>
      </c>
      <c r="F3" s="51">
        <v>11</v>
      </c>
      <c r="G3" s="42">
        <f>Articulos!$E$4</f>
        <v>3135.77</v>
      </c>
      <c r="H3" s="52">
        <v>7100</v>
      </c>
      <c r="I3" s="53">
        <f t="shared" si="2"/>
        <v>41593.47</v>
      </c>
      <c r="J3" s="45">
        <f t="shared" ref="J2:J41" si="4">I3*$K$1</f>
        <v>12478.040999999999</v>
      </c>
      <c r="K3" s="46">
        <f t="shared" si="3"/>
        <v>54070</v>
      </c>
      <c r="L3" s="47"/>
    </row>
    <row r="4" spans="1:13" ht="19.5" customHeight="1">
      <c r="A4" s="48" t="str">
        <f t="shared" si="0"/>
        <v>RC14x3,5x1,5</v>
      </c>
      <c r="B4" s="38" t="str">
        <f t="shared" si="1"/>
        <v>Calibre 14 Alt 1,5m con rombos de 3,5</v>
      </c>
      <c r="C4" s="49">
        <v>14</v>
      </c>
      <c r="D4" s="50">
        <v>3.5</v>
      </c>
      <c r="E4" s="51">
        <v>1.5</v>
      </c>
      <c r="F4" s="51">
        <v>9</v>
      </c>
      <c r="G4" s="42">
        <f>Articulos!$E$4</f>
        <v>3135.77</v>
      </c>
      <c r="H4" s="52">
        <v>6800</v>
      </c>
      <c r="I4" s="53">
        <f t="shared" si="2"/>
        <v>35021.93</v>
      </c>
      <c r="J4" s="45">
        <f t="shared" si="4"/>
        <v>10506.579</v>
      </c>
      <c r="K4" s="46">
        <f t="shared" si="3"/>
        <v>45520</v>
      </c>
      <c r="L4" s="47"/>
    </row>
    <row r="5" spans="1:13" ht="19.5" customHeight="1">
      <c r="A5" s="48" t="str">
        <f t="shared" si="0"/>
        <v>RC14x3,5x1,2</v>
      </c>
      <c r="B5" s="38" t="str">
        <f t="shared" si="1"/>
        <v>Calibre 14 Alt 1,2m con rombos de 3,5</v>
      </c>
      <c r="C5" s="49">
        <v>14</v>
      </c>
      <c r="D5" s="50">
        <v>3.5</v>
      </c>
      <c r="E5" s="51">
        <v>1.2</v>
      </c>
      <c r="F5" s="54">
        <v>7.8</v>
      </c>
      <c r="G5" s="42">
        <f>Articulos!$E$4</f>
        <v>3135.77</v>
      </c>
      <c r="H5" s="52">
        <v>6400</v>
      </c>
      <c r="I5" s="53">
        <f t="shared" si="2"/>
        <v>30859.005999999998</v>
      </c>
      <c r="J5" s="45">
        <f t="shared" si="4"/>
        <v>9257.7017999999989</v>
      </c>
      <c r="K5" s="46">
        <f t="shared" si="3"/>
        <v>40110</v>
      </c>
      <c r="L5" s="47"/>
    </row>
    <row r="6" spans="1:13" ht="19.5" customHeight="1">
      <c r="A6" s="48" t="str">
        <f t="shared" si="0"/>
        <v>RC14x3,5x1</v>
      </c>
      <c r="B6" s="38" t="str">
        <f t="shared" si="1"/>
        <v>Calibre 14 Alt 1m con rombos de 3,5</v>
      </c>
      <c r="C6" s="49">
        <v>14</v>
      </c>
      <c r="D6" s="50">
        <v>3.5</v>
      </c>
      <c r="E6" s="51">
        <v>1</v>
      </c>
      <c r="F6" s="51">
        <v>6</v>
      </c>
      <c r="G6" s="42">
        <f>Articulos!$E$4</f>
        <v>3135.77</v>
      </c>
      <c r="H6" s="52">
        <v>6200</v>
      </c>
      <c r="I6" s="53">
        <f t="shared" si="2"/>
        <v>25014.62</v>
      </c>
      <c r="J6" s="45">
        <f t="shared" si="4"/>
        <v>7504.3859999999995</v>
      </c>
      <c r="K6" s="46">
        <f t="shared" si="3"/>
        <v>32510</v>
      </c>
      <c r="L6" s="47"/>
    </row>
    <row r="7" spans="1:13" ht="19.5" customHeight="1">
      <c r="A7" s="48" t="str">
        <f t="shared" si="0"/>
        <v>RC14x3x2</v>
      </c>
      <c r="B7" s="38" t="str">
        <f t="shared" si="1"/>
        <v>Calibre 14 Alt 2m con rombos de 3</v>
      </c>
      <c r="C7" s="55">
        <v>14</v>
      </c>
      <c r="D7" s="56">
        <v>3</v>
      </c>
      <c r="E7" s="51">
        <v>2</v>
      </c>
      <c r="F7" s="51">
        <v>15</v>
      </c>
      <c r="G7" s="42">
        <f>Articulos!$E$4</f>
        <v>3135.77</v>
      </c>
      <c r="H7" s="52">
        <v>8700</v>
      </c>
      <c r="I7" s="53">
        <f t="shared" si="2"/>
        <v>55736.55</v>
      </c>
      <c r="J7" s="45">
        <f t="shared" si="4"/>
        <v>16720.965</v>
      </c>
      <c r="K7" s="46">
        <f t="shared" si="3"/>
        <v>72450</v>
      </c>
      <c r="L7" s="47">
        <v>61000</v>
      </c>
    </row>
    <row r="8" spans="1:13" ht="19.5" customHeight="1">
      <c r="A8" s="48" t="str">
        <f t="shared" si="0"/>
        <v>RC14x3x1,8</v>
      </c>
      <c r="B8" s="38" t="str">
        <f t="shared" si="1"/>
        <v>Calibre 14 Alt 1,8m con rombos de 3</v>
      </c>
      <c r="C8" s="55">
        <v>14</v>
      </c>
      <c r="D8" s="56">
        <v>3</v>
      </c>
      <c r="E8" s="57">
        <v>1.8</v>
      </c>
      <c r="F8" s="51">
        <v>14</v>
      </c>
      <c r="G8" s="42">
        <f>Articulos!$E$4</f>
        <v>3135.77</v>
      </c>
      <c r="H8" s="52">
        <v>8100</v>
      </c>
      <c r="I8" s="53">
        <f t="shared" si="2"/>
        <v>52000.78</v>
      </c>
      <c r="J8" s="45">
        <f t="shared" si="4"/>
        <v>15600.233999999999</v>
      </c>
      <c r="K8" s="46">
        <f t="shared" si="3"/>
        <v>67600</v>
      </c>
      <c r="L8" s="47">
        <v>55000</v>
      </c>
    </row>
    <row r="9" spans="1:13" ht="19.5" customHeight="1">
      <c r="A9" s="48" t="str">
        <f t="shared" si="0"/>
        <v>RC14x3x1,5</v>
      </c>
      <c r="B9" s="38" t="str">
        <f t="shared" si="1"/>
        <v>Calibre 14 Alt 1,5m con rombos de 3</v>
      </c>
      <c r="C9" s="55">
        <v>14</v>
      </c>
      <c r="D9" s="56">
        <v>3</v>
      </c>
      <c r="E9" s="57">
        <v>1.5</v>
      </c>
      <c r="F9" s="51">
        <v>11.3</v>
      </c>
      <c r="G9" s="42">
        <f>Articulos!$E$4</f>
        <v>3135.77</v>
      </c>
      <c r="H9" s="52">
        <v>7600</v>
      </c>
      <c r="I9" s="53">
        <f t="shared" si="2"/>
        <v>43034.201000000001</v>
      </c>
      <c r="J9" s="45">
        <f t="shared" si="4"/>
        <v>12910.2603</v>
      </c>
      <c r="K9" s="46">
        <f t="shared" si="3"/>
        <v>55940</v>
      </c>
      <c r="L9" s="47">
        <v>47500</v>
      </c>
    </row>
    <row r="10" spans="1:13" ht="19.5" customHeight="1">
      <c r="A10" s="48" t="str">
        <f t="shared" si="0"/>
        <v>RC14x3x1,2</v>
      </c>
      <c r="B10" s="38" t="str">
        <f t="shared" si="1"/>
        <v>Calibre 14 Alt 1,2m con rombos de 3</v>
      </c>
      <c r="C10" s="55">
        <v>14</v>
      </c>
      <c r="D10" s="56">
        <v>3</v>
      </c>
      <c r="E10" s="51">
        <v>1.2</v>
      </c>
      <c r="F10" s="51">
        <v>9.5</v>
      </c>
      <c r="G10" s="42">
        <f>Articulos!$E$4</f>
        <v>3135.77</v>
      </c>
      <c r="H10" s="52">
        <v>7100</v>
      </c>
      <c r="I10" s="53">
        <f t="shared" si="2"/>
        <v>36889.815000000002</v>
      </c>
      <c r="J10" s="45">
        <f t="shared" si="4"/>
        <v>11066.9445</v>
      </c>
      <c r="K10" s="46">
        <f t="shared" si="3"/>
        <v>47950</v>
      </c>
      <c r="L10" s="47"/>
    </row>
    <row r="11" spans="1:13" ht="19.5" customHeight="1">
      <c r="A11" s="48" t="str">
        <f t="shared" si="0"/>
        <v>RC14x3x1</v>
      </c>
      <c r="B11" s="38" t="str">
        <f t="shared" si="1"/>
        <v>Calibre 14 Alt 1m con rombos de 3</v>
      </c>
      <c r="C11" s="55">
        <v>14</v>
      </c>
      <c r="D11" s="56">
        <v>3</v>
      </c>
      <c r="E11" s="51">
        <v>1</v>
      </c>
      <c r="F11" s="51">
        <v>8</v>
      </c>
      <c r="G11" s="42">
        <f>Articulos!$E$4</f>
        <v>3135.77</v>
      </c>
      <c r="H11" s="52">
        <v>6900</v>
      </c>
      <c r="I11" s="53">
        <f t="shared" si="2"/>
        <v>31986.16</v>
      </c>
      <c r="J11" s="45">
        <f t="shared" si="4"/>
        <v>9595.848</v>
      </c>
      <c r="K11" s="46">
        <f t="shared" si="3"/>
        <v>41580</v>
      </c>
      <c r="L11" s="47"/>
    </row>
    <row r="12" spans="1:13" ht="18.75" customHeight="1">
      <c r="A12" s="48" t="str">
        <f t="shared" si="0"/>
        <v>RC14x2,5x2</v>
      </c>
      <c r="B12" s="38" t="str">
        <f t="shared" si="1"/>
        <v>Calibre 14 Alt 2m con rombos de 2,5</v>
      </c>
      <c r="C12" s="49">
        <v>14</v>
      </c>
      <c r="D12" s="50">
        <v>2.5</v>
      </c>
      <c r="E12" s="51">
        <v>2</v>
      </c>
      <c r="F12" s="51">
        <v>18</v>
      </c>
      <c r="G12" s="42">
        <f>Articulos!$E$4</f>
        <v>3135.77</v>
      </c>
      <c r="H12" s="52">
        <v>12000</v>
      </c>
      <c r="I12" s="53">
        <f t="shared" si="2"/>
        <v>68443.86</v>
      </c>
      <c r="J12" s="45">
        <f t="shared" si="4"/>
        <v>20533.157999999999</v>
      </c>
      <c r="K12" s="46">
        <f t="shared" si="3"/>
        <v>88970</v>
      </c>
      <c r="L12" s="47">
        <v>72000</v>
      </c>
    </row>
    <row r="13" spans="1:13" ht="19.5" customHeight="1">
      <c r="A13" s="48" t="str">
        <f t="shared" si="0"/>
        <v>RC14x2,5x1,8</v>
      </c>
      <c r="B13" s="38" t="str">
        <f t="shared" si="1"/>
        <v>Calibre 14 Alt 1,8m con rombos de 2,5</v>
      </c>
      <c r="C13" s="49">
        <v>14</v>
      </c>
      <c r="D13" s="50">
        <v>2.5</v>
      </c>
      <c r="E13" s="51">
        <v>1.8</v>
      </c>
      <c r="F13" s="51">
        <v>16</v>
      </c>
      <c r="G13" s="42">
        <f>Articulos!$E$4</f>
        <v>3135.77</v>
      </c>
      <c r="H13" s="52">
        <v>10500</v>
      </c>
      <c r="I13" s="53">
        <f t="shared" si="2"/>
        <v>60672.32</v>
      </c>
      <c r="J13" s="45">
        <f t="shared" si="4"/>
        <v>18201.696</v>
      </c>
      <c r="K13" s="46">
        <f t="shared" si="3"/>
        <v>78870</v>
      </c>
      <c r="L13" s="47">
        <v>64000</v>
      </c>
    </row>
    <row r="14" spans="1:13" ht="19.5" customHeight="1">
      <c r="A14" s="48" t="str">
        <f t="shared" si="0"/>
        <v>RC14x2,5x1,5</v>
      </c>
      <c r="B14" s="38" t="str">
        <f t="shared" si="1"/>
        <v>Calibre 14 Alt 1,5m con rombos de 2,5</v>
      </c>
      <c r="C14" s="49">
        <v>14</v>
      </c>
      <c r="D14" s="50">
        <v>2.5</v>
      </c>
      <c r="E14" s="51">
        <v>1.5</v>
      </c>
      <c r="F14" s="51">
        <v>13</v>
      </c>
      <c r="G14" s="42">
        <f>Articulos!$E$4</f>
        <v>3135.77</v>
      </c>
      <c r="H14" s="52">
        <v>9000</v>
      </c>
      <c r="I14" s="53">
        <f t="shared" si="2"/>
        <v>49765.01</v>
      </c>
      <c r="J14" s="45">
        <f t="shared" si="4"/>
        <v>14929.503000000001</v>
      </c>
      <c r="K14" s="46">
        <f t="shared" si="3"/>
        <v>64690</v>
      </c>
      <c r="L14" s="47">
        <v>54000</v>
      </c>
    </row>
    <row r="15" spans="1:13" ht="19.5" customHeight="1">
      <c r="A15" s="48" t="str">
        <f t="shared" si="0"/>
        <v>RC14x2,5x1,2</v>
      </c>
      <c r="B15" s="38" t="str">
        <f t="shared" si="1"/>
        <v>Calibre 14 Alt 1,2m con rombos de 2,5</v>
      </c>
      <c r="C15" s="49">
        <v>14</v>
      </c>
      <c r="D15" s="50">
        <v>2.5</v>
      </c>
      <c r="E15" s="51">
        <v>1.2</v>
      </c>
      <c r="F15" s="51">
        <v>11</v>
      </c>
      <c r="G15" s="42">
        <f>Articulos!$E$4</f>
        <v>3135.77</v>
      </c>
      <c r="H15" s="52">
        <v>8000</v>
      </c>
      <c r="I15" s="53">
        <f t="shared" si="2"/>
        <v>42493.47</v>
      </c>
      <c r="J15" s="45">
        <f t="shared" si="4"/>
        <v>12748.040999999999</v>
      </c>
      <c r="K15" s="46">
        <f t="shared" si="3"/>
        <v>55240</v>
      </c>
      <c r="L15" s="47"/>
    </row>
    <row r="16" spans="1:13" ht="19.5" customHeight="1">
      <c r="A16" s="48" t="str">
        <f t="shared" si="0"/>
        <v>RC14x2,5x1</v>
      </c>
      <c r="B16" s="38" t="str">
        <f t="shared" si="1"/>
        <v>Calibre 14 Alt 1m con rombos de 2,5</v>
      </c>
      <c r="C16" s="49">
        <v>14</v>
      </c>
      <c r="D16" s="50">
        <v>2.5</v>
      </c>
      <c r="E16" s="51">
        <v>1</v>
      </c>
      <c r="F16" s="51">
        <v>9</v>
      </c>
      <c r="G16" s="42">
        <f>Articulos!$E$4</f>
        <v>3135.77</v>
      </c>
      <c r="H16" s="52">
        <v>7800</v>
      </c>
      <c r="I16" s="53">
        <f t="shared" si="2"/>
        <v>36021.93</v>
      </c>
      <c r="J16" s="45">
        <f t="shared" si="4"/>
        <v>10806.579</v>
      </c>
      <c r="K16" s="46">
        <f t="shared" si="3"/>
        <v>46820</v>
      </c>
      <c r="L16" s="47"/>
    </row>
    <row r="17" spans="1:12" ht="19.5" customHeight="1">
      <c r="A17" s="48" t="str">
        <f t="shared" si="0"/>
        <v>RC14x2x2</v>
      </c>
      <c r="B17" s="38" t="str">
        <f t="shared" si="1"/>
        <v>Calibre 14 Alt 2m con rombos de 2</v>
      </c>
      <c r="C17" s="55">
        <v>14</v>
      </c>
      <c r="D17" s="56">
        <v>2</v>
      </c>
      <c r="E17" s="51">
        <v>2</v>
      </c>
      <c r="F17" s="51">
        <v>21</v>
      </c>
      <c r="G17" s="42">
        <f>Articulos!$E$4</f>
        <v>3135.77</v>
      </c>
      <c r="H17" s="52">
        <v>14000</v>
      </c>
      <c r="I17" s="53">
        <f t="shared" si="2"/>
        <v>79851.17</v>
      </c>
      <c r="J17" s="45">
        <f t="shared" si="4"/>
        <v>23955.350999999999</v>
      </c>
      <c r="K17" s="46">
        <f t="shared" si="3"/>
        <v>103800</v>
      </c>
      <c r="L17" s="47">
        <v>84500</v>
      </c>
    </row>
    <row r="18" spans="1:12" ht="19.5" customHeight="1">
      <c r="A18" s="48" t="str">
        <f t="shared" si="0"/>
        <v>RC14x2x1,8</v>
      </c>
      <c r="B18" s="38" t="str">
        <f t="shared" si="1"/>
        <v>Calibre 14 Alt 1,8m con rombos de 2</v>
      </c>
      <c r="C18" s="55">
        <v>14</v>
      </c>
      <c r="D18" s="56">
        <v>2</v>
      </c>
      <c r="E18" s="57">
        <v>1.8</v>
      </c>
      <c r="F18" s="51">
        <v>19</v>
      </c>
      <c r="G18" s="42">
        <f>Articulos!$E$4</f>
        <v>3135.77</v>
      </c>
      <c r="H18" s="52">
        <v>12000</v>
      </c>
      <c r="I18" s="53">
        <f t="shared" si="2"/>
        <v>71579.63</v>
      </c>
      <c r="J18" s="45">
        <f t="shared" si="4"/>
        <v>21473.888999999999</v>
      </c>
      <c r="K18" s="46">
        <f t="shared" si="3"/>
        <v>93050</v>
      </c>
      <c r="L18" s="47">
        <v>79000</v>
      </c>
    </row>
    <row r="19" spans="1:12" ht="19.5" customHeight="1">
      <c r="A19" s="48" t="str">
        <f t="shared" si="0"/>
        <v>RC14x2x1,5</v>
      </c>
      <c r="B19" s="38" t="str">
        <f t="shared" si="1"/>
        <v>Calibre 14 Alt 1,5m con rombos de 2</v>
      </c>
      <c r="C19" s="55">
        <v>14</v>
      </c>
      <c r="D19" s="56">
        <v>2</v>
      </c>
      <c r="E19" s="57">
        <v>1.5</v>
      </c>
      <c r="F19" s="51">
        <v>16</v>
      </c>
      <c r="G19" s="42">
        <f>Articulos!$E$4</f>
        <v>3135.77</v>
      </c>
      <c r="H19" s="52">
        <v>10500</v>
      </c>
      <c r="I19" s="53">
        <f t="shared" si="2"/>
        <v>60672.32</v>
      </c>
      <c r="J19" s="45">
        <f t="shared" si="4"/>
        <v>18201.696</v>
      </c>
      <c r="K19" s="46">
        <f t="shared" si="3"/>
        <v>78870</v>
      </c>
      <c r="L19" s="47">
        <v>65000</v>
      </c>
    </row>
    <row r="20" spans="1:12" ht="19.5" customHeight="1">
      <c r="A20" s="48" t="str">
        <f t="shared" si="0"/>
        <v>RC14x2x1,2</v>
      </c>
      <c r="B20" s="38" t="str">
        <f t="shared" si="1"/>
        <v>Calibre 14 Alt 1,2m con rombos de 2</v>
      </c>
      <c r="C20" s="55">
        <v>14</v>
      </c>
      <c r="D20" s="56">
        <v>2</v>
      </c>
      <c r="E20" s="51">
        <v>1.2</v>
      </c>
      <c r="F20" s="51">
        <v>13</v>
      </c>
      <c r="G20" s="42">
        <f>Articulos!$E$4</f>
        <v>3135.77</v>
      </c>
      <c r="H20" s="52">
        <v>9500</v>
      </c>
      <c r="I20" s="53">
        <f t="shared" si="2"/>
        <v>50265.01</v>
      </c>
      <c r="J20" s="45">
        <f t="shared" si="4"/>
        <v>15079.503000000001</v>
      </c>
      <c r="K20" s="46">
        <f t="shared" si="3"/>
        <v>65340</v>
      </c>
      <c r="L20" s="47"/>
    </row>
    <row r="21" spans="1:12" ht="19.5" customHeight="1">
      <c r="A21" s="48" t="str">
        <f t="shared" si="0"/>
        <v>RC14x2x1</v>
      </c>
      <c r="B21" s="38" t="str">
        <f t="shared" si="1"/>
        <v>Calibre 14 Alt 1m con rombos de 2</v>
      </c>
      <c r="C21" s="55">
        <v>14</v>
      </c>
      <c r="D21" s="56">
        <v>2</v>
      </c>
      <c r="E21" s="51">
        <v>1</v>
      </c>
      <c r="F21" s="51">
        <v>11</v>
      </c>
      <c r="G21" s="42">
        <f>Articulos!$E$4</f>
        <v>3135.77</v>
      </c>
      <c r="H21" s="52">
        <v>9300</v>
      </c>
      <c r="I21" s="53">
        <f t="shared" si="2"/>
        <v>43793.47</v>
      </c>
      <c r="J21" s="45">
        <f t="shared" si="4"/>
        <v>13138.040999999999</v>
      </c>
      <c r="K21" s="46">
        <f t="shared" si="3"/>
        <v>56930</v>
      </c>
      <c r="L21" s="47"/>
    </row>
    <row r="22" spans="1:12" ht="19.5" customHeight="1">
      <c r="A22" s="48" t="str">
        <f t="shared" si="0"/>
        <v>RC12x3,5x2</v>
      </c>
      <c r="B22" s="38" t="str">
        <f t="shared" si="1"/>
        <v>Calibre 12 Alt 2m con rombos de 3,5</v>
      </c>
      <c r="C22" s="49">
        <v>12</v>
      </c>
      <c r="D22" s="50">
        <v>3.5</v>
      </c>
      <c r="E22" s="51">
        <v>2</v>
      </c>
      <c r="F22" s="51">
        <v>20</v>
      </c>
      <c r="G22" s="42">
        <f>Articulos!$E$2</f>
        <v>2912</v>
      </c>
      <c r="H22" s="52">
        <v>11000</v>
      </c>
      <c r="I22" s="53">
        <f t="shared" si="2"/>
        <v>69240</v>
      </c>
      <c r="J22" s="45">
        <f t="shared" si="4"/>
        <v>20772</v>
      </c>
      <c r="K22" s="46">
        <f t="shared" si="3"/>
        <v>90010</v>
      </c>
      <c r="L22" s="47"/>
    </row>
    <row r="23" spans="1:12" ht="19.5" customHeight="1">
      <c r="A23" s="48" t="str">
        <f t="shared" si="0"/>
        <v>RC12x3,5x1,8</v>
      </c>
      <c r="B23" s="38" t="str">
        <f t="shared" si="1"/>
        <v>Calibre 12 Alt 1,8m con rombos de 3,5</v>
      </c>
      <c r="C23" s="49">
        <v>12</v>
      </c>
      <c r="D23" s="50">
        <v>3.5</v>
      </c>
      <c r="E23" s="51">
        <v>1.8</v>
      </c>
      <c r="F23" s="58">
        <v>18</v>
      </c>
      <c r="G23" s="42">
        <f>Articulos!$E$2</f>
        <v>2912</v>
      </c>
      <c r="H23" s="52">
        <v>10000</v>
      </c>
      <c r="I23" s="53">
        <f t="shared" si="2"/>
        <v>62416</v>
      </c>
      <c r="J23" s="45">
        <f t="shared" si="4"/>
        <v>18724.8</v>
      </c>
      <c r="K23" s="46">
        <f t="shared" si="3"/>
        <v>81140</v>
      </c>
      <c r="L23" s="47"/>
    </row>
    <row r="24" spans="1:12" ht="19.5" customHeight="1">
      <c r="A24" s="48" t="str">
        <f t="shared" si="0"/>
        <v>RC12x3,5x1,5</v>
      </c>
      <c r="B24" s="38" t="str">
        <f t="shared" si="1"/>
        <v>Calibre 12 Alt 1,5m con rombos de 3,5</v>
      </c>
      <c r="C24" s="49">
        <v>12</v>
      </c>
      <c r="D24" s="50">
        <v>3.5</v>
      </c>
      <c r="E24" s="51">
        <v>1.5</v>
      </c>
      <c r="F24" s="59">
        <v>15</v>
      </c>
      <c r="G24" s="42">
        <f>Articulos!$E$2</f>
        <v>2912</v>
      </c>
      <c r="H24" s="52">
        <v>9000</v>
      </c>
      <c r="I24" s="53">
        <f t="shared" si="2"/>
        <v>52680</v>
      </c>
      <c r="J24" s="45">
        <f t="shared" si="4"/>
        <v>15804</v>
      </c>
      <c r="K24" s="46">
        <f t="shared" si="3"/>
        <v>68480</v>
      </c>
      <c r="L24" s="47"/>
    </row>
    <row r="25" spans="1:12" ht="19.5" customHeight="1">
      <c r="A25" s="48" t="str">
        <f t="shared" si="0"/>
        <v>RC12x3,5x1,2</v>
      </c>
      <c r="B25" s="38" t="str">
        <f t="shared" si="1"/>
        <v>Calibre 12 Alt 1,2m con rombos de 3,5</v>
      </c>
      <c r="C25" s="49">
        <v>12</v>
      </c>
      <c r="D25" s="50">
        <v>3.5</v>
      </c>
      <c r="E25" s="51">
        <v>1.2</v>
      </c>
      <c r="F25" s="59">
        <v>12</v>
      </c>
      <c r="G25" s="42">
        <f>Articulos!$E$2</f>
        <v>2912</v>
      </c>
      <c r="H25" s="52">
        <v>8000</v>
      </c>
      <c r="I25" s="53">
        <f t="shared" si="2"/>
        <v>42944</v>
      </c>
      <c r="J25" s="45">
        <f t="shared" si="4"/>
        <v>12883.199999999999</v>
      </c>
      <c r="K25" s="46">
        <f t="shared" si="3"/>
        <v>55820</v>
      </c>
      <c r="L25" s="47"/>
    </row>
    <row r="26" spans="1:12" ht="19.5" customHeight="1">
      <c r="A26" s="48" t="str">
        <f t="shared" si="0"/>
        <v>RC12x3,5x1</v>
      </c>
      <c r="B26" s="38" t="str">
        <f t="shared" si="1"/>
        <v>Calibre 12 Alt 1m con rombos de 3,5</v>
      </c>
      <c r="C26" s="49">
        <v>12</v>
      </c>
      <c r="D26" s="50">
        <v>3.5</v>
      </c>
      <c r="E26" s="51">
        <v>1</v>
      </c>
      <c r="F26" s="59">
        <v>10</v>
      </c>
      <c r="G26" s="42">
        <f>Articulos!$E$2</f>
        <v>2912</v>
      </c>
      <c r="H26" s="52">
        <v>7000</v>
      </c>
      <c r="I26" s="53">
        <f t="shared" si="2"/>
        <v>36120</v>
      </c>
      <c r="J26" s="45">
        <f t="shared" si="4"/>
        <v>10836</v>
      </c>
      <c r="K26" s="46">
        <f t="shared" si="3"/>
        <v>46950</v>
      </c>
      <c r="L26" s="47"/>
    </row>
    <row r="27" spans="1:12" ht="19.5" customHeight="1">
      <c r="A27" s="48" t="str">
        <f t="shared" si="0"/>
        <v>RC12x3x2</v>
      </c>
      <c r="B27" s="38" t="str">
        <f t="shared" si="1"/>
        <v>Calibre 12 Alt 2m con rombos de 3</v>
      </c>
      <c r="C27" s="55">
        <v>12</v>
      </c>
      <c r="D27" s="56">
        <v>3</v>
      </c>
      <c r="E27" s="51">
        <v>2</v>
      </c>
      <c r="F27" s="59">
        <v>22</v>
      </c>
      <c r="G27" s="42">
        <f>Articulos!$E$2</f>
        <v>2912</v>
      </c>
      <c r="H27" s="52">
        <v>12500</v>
      </c>
      <c r="I27" s="53">
        <f t="shared" si="2"/>
        <v>76564</v>
      </c>
      <c r="J27" s="45">
        <f t="shared" si="4"/>
        <v>22969.200000000001</v>
      </c>
      <c r="K27" s="46">
        <f t="shared" si="3"/>
        <v>99530</v>
      </c>
      <c r="L27" s="47"/>
    </row>
    <row r="28" spans="1:12" ht="19.5" customHeight="1">
      <c r="A28" s="48" t="str">
        <f t="shared" si="0"/>
        <v>RC12x3x1,8</v>
      </c>
      <c r="B28" s="38" t="str">
        <f t="shared" si="1"/>
        <v>Calibre 12 Alt 1,8m con rombos de 3</v>
      </c>
      <c r="C28" s="55">
        <v>12</v>
      </c>
      <c r="D28" s="56">
        <v>3</v>
      </c>
      <c r="E28" s="57">
        <v>1.8</v>
      </c>
      <c r="F28" s="59">
        <v>20</v>
      </c>
      <c r="G28" s="42">
        <f>Articulos!$E$2</f>
        <v>2912</v>
      </c>
      <c r="H28" s="52">
        <v>10500</v>
      </c>
      <c r="I28" s="53">
        <f t="shared" si="2"/>
        <v>68740</v>
      </c>
      <c r="J28" s="45">
        <f t="shared" si="4"/>
        <v>20622</v>
      </c>
      <c r="K28" s="46">
        <f t="shared" si="3"/>
        <v>89360</v>
      </c>
      <c r="L28" s="47"/>
    </row>
    <row r="29" spans="1:12" ht="19.5" customHeight="1">
      <c r="A29" s="48" t="str">
        <f t="shared" si="0"/>
        <v>RC12x3x1,5</v>
      </c>
      <c r="B29" s="38" t="str">
        <f t="shared" si="1"/>
        <v>Calibre 12 Alt 1,5m con rombos de 3</v>
      </c>
      <c r="C29" s="55">
        <v>12</v>
      </c>
      <c r="D29" s="56">
        <v>3</v>
      </c>
      <c r="E29" s="57">
        <v>1.5</v>
      </c>
      <c r="F29" s="59">
        <v>17</v>
      </c>
      <c r="G29" s="42">
        <f>Articulos!$E$2</f>
        <v>2912</v>
      </c>
      <c r="H29" s="52">
        <v>9500</v>
      </c>
      <c r="I29" s="53">
        <f t="shared" si="2"/>
        <v>59004</v>
      </c>
      <c r="J29" s="45">
        <f t="shared" si="4"/>
        <v>17701.2</v>
      </c>
      <c r="K29" s="46">
        <f t="shared" si="3"/>
        <v>76700</v>
      </c>
      <c r="L29" s="47"/>
    </row>
    <row r="30" spans="1:12" ht="19.5" customHeight="1">
      <c r="A30" s="48" t="str">
        <f t="shared" si="0"/>
        <v>RC12x3x1,2</v>
      </c>
      <c r="B30" s="38" t="str">
        <f t="shared" si="1"/>
        <v>Calibre 12 Alt 1,2m con rombos de 3</v>
      </c>
      <c r="C30" s="55">
        <v>12</v>
      </c>
      <c r="D30" s="56">
        <v>3</v>
      </c>
      <c r="E30" s="51">
        <v>1.2</v>
      </c>
      <c r="F30" s="59">
        <v>14</v>
      </c>
      <c r="G30" s="42">
        <f>Articulos!$E$2</f>
        <v>2912</v>
      </c>
      <c r="H30" s="52">
        <v>8500</v>
      </c>
      <c r="I30" s="53">
        <f t="shared" si="2"/>
        <v>49268</v>
      </c>
      <c r="J30" s="45">
        <f t="shared" si="4"/>
        <v>14780.4</v>
      </c>
      <c r="K30" s="46">
        <f t="shared" si="3"/>
        <v>64040</v>
      </c>
      <c r="L30" s="47"/>
    </row>
    <row r="31" spans="1:12" ht="19.5" customHeight="1">
      <c r="A31" s="48" t="str">
        <f t="shared" si="0"/>
        <v>RC12x3x1</v>
      </c>
      <c r="B31" s="38" t="str">
        <f t="shared" si="1"/>
        <v>Calibre 12 Alt 1m con rombos de 3</v>
      </c>
      <c r="C31" s="55">
        <v>12</v>
      </c>
      <c r="D31" s="56">
        <v>3</v>
      </c>
      <c r="E31" s="51">
        <v>1</v>
      </c>
      <c r="F31" s="59">
        <v>12</v>
      </c>
      <c r="G31" s="42">
        <f>Articulos!$E$2</f>
        <v>2912</v>
      </c>
      <c r="H31" s="52">
        <v>7500</v>
      </c>
      <c r="I31" s="53">
        <f t="shared" si="2"/>
        <v>42444</v>
      </c>
      <c r="J31" s="45">
        <f t="shared" si="4"/>
        <v>12733.199999999999</v>
      </c>
      <c r="K31" s="46">
        <f t="shared" si="3"/>
        <v>55170</v>
      </c>
      <c r="L31" s="47"/>
    </row>
    <row r="32" spans="1:12" ht="19.5" customHeight="1">
      <c r="A32" s="48" t="str">
        <f t="shared" si="0"/>
        <v>RC12x2,5x2</v>
      </c>
      <c r="B32" s="38" t="str">
        <f t="shared" si="1"/>
        <v>Calibre 12 Alt 2m con rombos de 2,5</v>
      </c>
      <c r="C32" s="49">
        <v>12</v>
      </c>
      <c r="D32" s="50">
        <v>2.5</v>
      </c>
      <c r="E32" s="51">
        <v>2</v>
      </c>
      <c r="F32" s="59">
        <v>30</v>
      </c>
      <c r="G32" s="42">
        <f>Articulos!$E$2</f>
        <v>2912</v>
      </c>
      <c r="H32" s="52">
        <v>18000</v>
      </c>
      <c r="I32" s="53">
        <f t="shared" si="2"/>
        <v>105360</v>
      </c>
      <c r="J32" s="45">
        <f t="shared" si="4"/>
        <v>31608</v>
      </c>
      <c r="K32" s="46">
        <f t="shared" si="3"/>
        <v>136960</v>
      </c>
      <c r="L32" s="47"/>
    </row>
    <row r="33" spans="1:12" ht="18.75" customHeight="1">
      <c r="A33" s="48" t="str">
        <f t="shared" si="0"/>
        <v>RC12x2,5x1,8</v>
      </c>
      <c r="B33" s="38" t="str">
        <f t="shared" si="1"/>
        <v>Calibre 12 Alt 1,8m con rombos de 2,5</v>
      </c>
      <c r="C33" s="49">
        <v>12</v>
      </c>
      <c r="D33" s="50">
        <v>2.5</v>
      </c>
      <c r="E33" s="51">
        <v>1.8</v>
      </c>
      <c r="F33" s="59">
        <v>27</v>
      </c>
      <c r="G33" s="42">
        <f>Articulos!$E$2</f>
        <v>2912</v>
      </c>
      <c r="H33" s="52">
        <v>15000</v>
      </c>
      <c r="I33" s="53">
        <f t="shared" si="2"/>
        <v>93624</v>
      </c>
      <c r="J33" s="45">
        <f t="shared" si="4"/>
        <v>28087.200000000001</v>
      </c>
      <c r="K33" s="46">
        <f t="shared" si="3"/>
        <v>121710</v>
      </c>
      <c r="L33" s="47"/>
    </row>
    <row r="34" spans="1:12" ht="19.5" customHeight="1">
      <c r="A34" s="48" t="str">
        <f t="shared" si="0"/>
        <v>RC12x2,5x1,5</v>
      </c>
      <c r="B34" s="38" t="str">
        <f t="shared" si="1"/>
        <v>Calibre 12 Alt 1,5m con rombos de 2,5</v>
      </c>
      <c r="C34" s="49">
        <v>12</v>
      </c>
      <c r="D34" s="50">
        <v>2.5</v>
      </c>
      <c r="E34" s="51">
        <v>1.5</v>
      </c>
      <c r="F34" s="59">
        <v>23</v>
      </c>
      <c r="G34" s="42">
        <f>Articulos!$E$2</f>
        <v>2912</v>
      </c>
      <c r="H34" s="52">
        <v>12500</v>
      </c>
      <c r="I34" s="53">
        <f t="shared" si="2"/>
        <v>79476</v>
      </c>
      <c r="J34" s="45">
        <f t="shared" si="4"/>
        <v>23842.799999999999</v>
      </c>
      <c r="K34" s="46">
        <f t="shared" si="3"/>
        <v>103310</v>
      </c>
      <c r="L34" s="47"/>
    </row>
    <row r="35" spans="1:12" ht="19.5" customHeight="1">
      <c r="A35" s="48" t="str">
        <f t="shared" si="0"/>
        <v>RC12x2,5x1,2</v>
      </c>
      <c r="B35" s="38" t="str">
        <f t="shared" si="1"/>
        <v>Calibre 12 Alt 1,2m con rombos de 2,5</v>
      </c>
      <c r="C35" s="49">
        <v>12</v>
      </c>
      <c r="D35" s="50">
        <v>2.5</v>
      </c>
      <c r="E35" s="51">
        <v>1.2</v>
      </c>
      <c r="F35" s="59">
        <v>18</v>
      </c>
      <c r="G35" s="42">
        <f>Articulos!$E$2</f>
        <v>2912</v>
      </c>
      <c r="H35" s="52">
        <v>10500</v>
      </c>
      <c r="I35" s="53">
        <f t="shared" si="2"/>
        <v>62916</v>
      </c>
      <c r="J35" s="45">
        <f t="shared" si="4"/>
        <v>18874.8</v>
      </c>
      <c r="K35" s="46">
        <f t="shared" si="3"/>
        <v>81790</v>
      </c>
      <c r="L35" s="47"/>
    </row>
    <row r="36" spans="1:12" ht="19.5" customHeight="1">
      <c r="A36" s="48" t="str">
        <f t="shared" si="0"/>
        <v>RC12x2,5x1</v>
      </c>
      <c r="B36" s="38" t="str">
        <f t="shared" si="1"/>
        <v>Calibre 12 Alt 1m con rombos de 2,5</v>
      </c>
      <c r="C36" s="49">
        <v>12</v>
      </c>
      <c r="D36" s="50">
        <v>2.5</v>
      </c>
      <c r="E36" s="51">
        <v>1</v>
      </c>
      <c r="F36" s="59">
        <v>15</v>
      </c>
      <c r="G36" s="42">
        <f>Articulos!$E$2</f>
        <v>2912</v>
      </c>
      <c r="H36" s="52">
        <v>9500</v>
      </c>
      <c r="I36" s="53">
        <f t="shared" si="2"/>
        <v>53180</v>
      </c>
      <c r="J36" s="45">
        <f t="shared" si="4"/>
        <v>15954</v>
      </c>
      <c r="K36" s="46">
        <f t="shared" si="3"/>
        <v>69130</v>
      </c>
      <c r="L36" s="47"/>
    </row>
    <row r="37" spans="1:12" ht="19.5" customHeight="1">
      <c r="A37" s="48" t="str">
        <f t="shared" si="0"/>
        <v>RC12x2x2</v>
      </c>
      <c r="B37" s="38" t="str">
        <f t="shared" si="1"/>
        <v>Calibre 12 Alt 2m con rombos de 2</v>
      </c>
      <c r="C37" s="55">
        <v>12</v>
      </c>
      <c r="D37" s="56">
        <v>2</v>
      </c>
      <c r="E37" s="51">
        <v>2</v>
      </c>
      <c r="F37" s="59">
        <v>33</v>
      </c>
      <c r="G37" s="42">
        <f>Articulos!$E$2</f>
        <v>2912</v>
      </c>
      <c r="H37" s="52">
        <v>21000</v>
      </c>
      <c r="I37" s="53">
        <f t="shared" si="2"/>
        <v>117096</v>
      </c>
      <c r="J37" s="45">
        <f t="shared" si="4"/>
        <v>35128.799999999996</v>
      </c>
      <c r="K37" s="46">
        <f t="shared" si="3"/>
        <v>152220</v>
      </c>
      <c r="L37" s="47"/>
    </row>
    <row r="38" spans="1:12" ht="19.5" customHeight="1">
      <c r="A38" s="48" t="str">
        <f t="shared" si="0"/>
        <v>RC12x2x1,8</v>
      </c>
      <c r="B38" s="38" t="str">
        <f t="shared" si="1"/>
        <v>Calibre 12 Alt 1,8m con rombos de 2</v>
      </c>
      <c r="C38" s="55">
        <v>12</v>
      </c>
      <c r="D38" s="56">
        <v>2</v>
      </c>
      <c r="E38" s="57">
        <v>1.8</v>
      </c>
      <c r="F38" s="59">
        <v>29</v>
      </c>
      <c r="G38" s="42">
        <f>Articulos!$E$2</f>
        <v>2912</v>
      </c>
      <c r="H38" s="52">
        <v>17000</v>
      </c>
      <c r="I38" s="53">
        <f>F37*G38+H38</f>
        <v>113096</v>
      </c>
      <c r="J38" s="45">
        <f t="shared" si="4"/>
        <v>33928.799999999996</v>
      </c>
      <c r="K38" s="46">
        <f t="shared" si="3"/>
        <v>147020</v>
      </c>
      <c r="L38" s="47"/>
    </row>
    <row r="39" spans="1:12" ht="19.5" customHeight="1">
      <c r="A39" s="48" t="str">
        <f t="shared" si="0"/>
        <v>RC12x2x1,5</v>
      </c>
      <c r="B39" s="38" t="str">
        <f t="shared" si="1"/>
        <v>Calibre 12 Alt 1,5m con rombos de 2</v>
      </c>
      <c r="C39" s="55">
        <v>12</v>
      </c>
      <c r="D39" s="56">
        <v>2</v>
      </c>
      <c r="E39" s="57">
        <v>1.5</v>
      </c>
      <c r="F39" s="59">
        <v>24</v>
      </c>
      <c r="G39" s="42">
        <f>Articulos!$E$2</f>
        <v>2912</v>
      </c>
      <c r="H39" s="52">
        <v>14000</v>
      </c>
      <c r="I39" s="53">
        <f t="shared" ref="I39:I41" si="5">F39*G39+H39</f>
        <v>83888</v>
      </c>
      <c r="J39" s="45">
        <f t="shared" si="4"/>
        <v>25166.399999999998</v>
      </c>
      <c r="K39" s="46">
        <f t="shared" si="3"/>
        <v>109050</v>
      </c>
      <c r="L39" s="47"/>
    </row>
    <row r="40" spans="1:12" ht="19.5" customHeight="1">
      <c r="A40" s="48" t="str">
        <f t="shared" si="0"/>
        <v>RC12x2x1,2</v>
      </c>
      <c r="B40" s="38" t="str">
        <f t="shared" si="1"/>
        <v>Calibre 12 Alt 1,2m con rombos de 2</v>
      </c>
      <c r="C40" s="55">
        <v>12</v>
      </c>
      <c r="D40" s="56">
        <v>2</v>
      </c>
      <c r="E40" s="51">
        <v>1.2</v>
      </c>
      <c r="F40" s="59">
        <v>20</v>
      </c>
      <c r="G40" s="42">
        <f>Articulos!$E$2</f>
        <v>2912</v>
      </c>
      <c r="H40" s="52">
        <v>12000</v>
      </c>
      <c r="I40" s="53">
        <f t="shared" si="5"/>
        <v>70240</v>
      </c>
      <c r="J40" s="45">
        <f t="shared" si="4"/>
        <v>21072</v>
      </c>
      <c r="K40" s="46">
        <f t="shared" si="3"/>
        <v>91310</v>
      </c>
      <c r="L40" s="47"/>
    </row>
    <row r="41" spans="1:12" ht="19.5" customHeight="1">
      <c r="A41" s="48" t="str">
        <f t="shared" si="0"/>
        <v>RC12x2x1</v>
      </c>
      <c r="B41" s="38" t="str">
        <f t="shared" si="1"/>
        <v>Calibre 12 Alt 1m con rombos de 2</v>
      </c>
      <c r="C41" s="55">
        <v>12</v>
      </c>
      <c r="D41" s="56">
        <v>2</v>
      </c>
      <c r="E41" s="51">
        <v>1</v>
      </c>
      <c r="F41" s="59">
        <v>16</v>
      </c>
      <c r="G41" s="42">
        <f>Articulos!$E$2</f>
        <v>2912</v>
      </c>
      <c r="H41" s="52">
        <v>11000</v>
      </c>
      <c r="I41" s="53">
        <f t="shared" si="5"/>
        <v>57592</v>
      </c>
      <c r="J41" s="45">
        <f t="shared" si="4"/>
        <v>17277.599999999999</v>
      </c>
      <c r="K41" s="46">
        <f t="shared" si="3"/>
        <v>74860</v>
      </c>
      <c r="L41" s="47"/>
    </row>
    <row r="42" spans="1:12" ht="19.5" customHeight="1">
      <c r="A42" s="60"/>
      <c r="B42" s="60"/>
      <c r="D42" s="61"/>
      <c r="F42" s="2"/>
      <c r="G42" s="2"/>
      <c r="H42" s="2"/>
      <c r="L42" s="62"/>
    </row>
    <row r="43" spans="1:12" ht="14.25" customHeight="1">
      <c r="A43" s="60"/>
      <c r="B43" s="60"/>
      <c r="D43" s="61"/>
      <c r="F43" s="2"/>
      <c r="G43" s="2"/>
      <c r="H43" s="2"/>
      <c r="L43" s="62"/>
    </row>
    <row r="44" spans="1:12" ht="14.25" customHeight="1">
      <c r="A44" s="60"/>
      <c r="B44" s="60"/>
      <c r="D44" s="61"/>
      <c r="F44" s="2"/>
      <c r="G44" s="2"/>
      <c r="H44" s="2"/>
      <c r="L44" s="62"/>
    </row>
    <row r="45" spans="1:12" ht="14.25" customHeight="1">
      <c r="A45" s="60"/>
      <c r="B45" s="60"/>
      <c r="D45" s="61"/>
      <c r="F45" s="2"/>
      <c r="G45" s="2"/>
      <c r="H45" s="2"/>
      <c r="L45" s="62"/>
    </row>
    <row r="46" spans="1:12" ht="14.25" customHeight="1">
      <c r="A46" s="60"/>
      <c r="B46" s="60"/>
      <c r="D46" s="61"/>
      <c r="F46" s="2"/>
      <c r="G46" s="2"/>
      <c r="H46" s="2"/>
      <c r="L46" s="62"/>
    </row>
    <row r="47" spans="1:12" ht="14.25" customHeight="1">
      <c r="A47" s="60"/>
      <c r="B47" s="60"/>
      <c r="D47" s="61"/>
      <c r="F47" s="2"/>
      <c r="G47" s="2"/>
      <c r="H47" s="2"/>
      <c r="L47" s="62"/>
    </row>
    <row r="48" spans="1:12" ht="14.25" customHeight="1">
      <c r="A48" s="60"/>
      <c r="B48" s="60"/>
      <c r="D48" s="61"/>
      <c r="F48" s="2"/>
      <c r="G48" s="2"/>
      <c r="H48" s="2"/>
      <c r="L48" s="62"/>
    </row>
    <row r="49" spans="1:12" ht="14.25" customHeight="1">
      <c r="A49" s="60"/>
      <c r="B49" s="60"/>
      <c r="D49" s="61"/>
      <c r="F49" s="2"/>
      <c r="G49" s="2"/>
      <c r="H49" s="2"/>
      <c r="L49" s="62"/>
    </row>
    <row r="50" spans="1:12" ht="14.25" customHeight="1">
      <c r="A50" s="60"/>
      <c r="B50" s="60"/>
      <c r="D50" s="61"/>
      <c r="F50" s="2"/>
      <c r="G50" s="2"/>
      <c r="H50" s="2"/>
      <c r="L50" s="62"/>
    </row>
    <row r="51" spans="1:12" ht="14.25" customHeight="1">
      <c r="A51" s="60"/>
      <c r="B51" s="60"/>
      <c r="D51" s="61"/>
      <c r="F51" s="2"/>
      <c r="G51" s="2"/>
      <c r="H51" s="2"/>
      <c r="L51" s="62"/>
    </row>
    <row r="52" spans="1:12" ht="14.25" customHeight="1">
      <c r="A52" s="60"/>
      <c r="B52" s="60"/>
      <c r="D52" s="61"/>
      <c r="F52" s="2"/>
      <c r="G52" s="2"/>
      <c r="H52" s="2"/>
      <c r="L52" s="62"/>
    </row>
    <row r="53" spans="1:12" ht="14.25" customHeight="1">
      <c r="A53" s="60"/>
      <c r="B53" s="60"/>
      <c r="D53" s="61"/>
      <c r="F53" s="2"/>
      <c r="G53" s="2"/>
      <c r="H53" s="2"/>
      <c r="L53" s="62"/>
    </row>
    <row r="54" spans="1:12" ht="14.25" customHeight="1">
      <c r="A54" s="60"/>
      <c r="B54" s="60"/>
      <c r="D54" s="61"/>
      <c r="F54" s="2"/>
      <c r="G54" s="2"/>
      <c r="H54" s="2"/>
      <c r="L54" s="62"/>
    </row>
    <row r="55" spans="1:12" ht="14.25" customHeight="1">
      <c r="A55" s="60"/>
      <c r="B55" s="60"/>
      <c r="D55" s="61"/>
      <c r="F55" s="2"/>
      <c r="G55" s="2"/>
      <c r="H55" s="2"/>
      <c r="L55" s="62"/>
    </row>
    <row r="56" spans="1:12" ht="14.25" customHeight="1">
      <c r="A56" s="60"/>
      <c r="B56" s="60"/>
      <c r="D56" s="61"/>
      <c r="F56" s="2"/>
      <c r="G56" s="2"/>
      <c r="H56" s="2"/>
      <c r="L56" s="62"/>
    </row>
    <row r="57" spans="1:12" ht="14.25" customHeight="1">
      <c r="A57" s="60"/>
      <c r="B57" s="60"/>
      <c r="D57" s="61"/>
      <c r="F57" s="2"/>
      <c r="G57" s="2"/>
      <c r="H57" s="2"/>
      <c r="L57" s="62"/>
    </row>
    <row r="58" spans="1:12" ht="14.25" customHeight="1">
      <c r="A58" s="60"/>
      <c r="B58" s="60"/>
      <c r="D58" s="61"/>
      <c r="F58" s="2"/>
      <c r="G58" s="2"/>
      <c r="H58" s="2"/>
      <c r="L58" s="62"/>
    </row>
    <row r="59" spans="1:12" ht="14.25" customHeight="1">
      <c r="A59" s="60"/>
      <c r="B59" s="60"/>
      <c r="D59" s="61"/>
      <c r="F59" s="2"/>
      <c r="G59" s="2"/>
      <c r="H59" s="2"/>
      <c r="L59" s="62"/>
    </row>
    <row r="60" spans="1:12" ht="14.25" customHeight="1">
      <c r="A60" s="60"/>
      <c r="B60" s="60"/>
      <c r="D60" s="61"/>
      <c r="F60" s="2"/>
      <c r="G60" s="2"/>
      <c r="H60" s="2"/>
      <c r="L60" s="62"/>
    </row>
    <row r="61" spans="1:12" ht="14.25" customHeight="1">
      <c r="A61" s="60"/>
      <c r="B61" s="60"/>
      <c r="D61" s="61"/>
      <c r="F61" s="2"/>
      <c r="G61" s="2"/>
      <c r="H61" s="2"/>
      <c r="L61" s="62"/>
    </row>
    <row r="62" spans="1:12" ht="14.25" customHeight="1">
      <c r="A62" s="60"/>
      <c r="B62" s="60"/>
      <c r="D62" s="61"/>
      <c r="F62" s="2"/>
      <c r="G62" s="2"/>
      <c r="H62" s="2"/>
      <c r="L62" s="62"/>
    </row>
    <row r="63" spans="1:12" ht="14.25" customHeight="1">
      <c r="A63" s="60"/>
      <c r="B63" s="60"/>
      <c r="D63" s="61"/>
      <c r="F63" s="2"/>
      <c r="G63" s="2"/>
      <c r="H63" s="2"/>
      <c r="L63" s="62"/>
    </row>
    <row r="64" spans="1:12" ht="14.25" customHeight="1">
      <c r="A64" s="60"/>
      <c r="B64" s="60"/>
      <c r="D64" s="61"/>
      <c r="F64" s="2"/>
      <c r="G64" s="2"/>
      <c r="H64" s="2"/>
      <c r="L64" s="62"/>
    </row>
    <row r="65" spans="1:12" ht="14.25" customHeight="1">
      <c r="A65" s="60"/>
      <c r="B65" s="60"/>
      <c r="D65" s="61"/>
      <c r="F65" s="2"/>
      <c r="G65" s="2"/>
      <c r="H65" s="2"/>
      <c r="L65" s="62"/>
    </row>
    <row r="66" spans="1:12" ht="14.25" customHeight="1">
      <c r="A66" s="60"/>
      <c r="B66" s="60"/>
      <c r="D66" s="61"/>
      <c r="F66" s="2"/>
      <c r="G66" s="2"/>
      <c r="H66" s="2"/>
      <c r="L66" s="62"/>
    </row>
    <row r="67" spans="1:12" ht="14.25" customHeight="1">
      <c r="A67" s="60"/>
      <c r="B67" s="60"/>
      <c r="D67" s="61"/>
      <c r="F67" s="2"/>
      <c r="G67" s="2"/>
      <c r="H67" s="2"/>
      <c r="L67" s="62"/>
    </row>
    <row r="68" spans="1:12" ht="14.25" customHeight="1">
      <c r="A68" s="60"/>
      <c r="B68" s="60"/>
      <c r="D68" s="61"/>
      <c r="F68" s="2"/>
      <c r="G68" s="2"/>
      <c r="H68" s="2"/>
      <c r="L68" s="62"/>
    </row>
    <row r="69" spans="1:12" ht="14.25" customHeight="1">
      <c r="A69" s="60"/>
      <c r="B69" s="60"/>
      <c r="D69" s="61"/>
      <c r="F69" s="2"/>
      <c r="G69" s="2"/>
      <c r="H69" s="2"/>
      <c r="L69" s="62"/>
    </row>
    <row r="70" spans="1:12" ht="14.25" customHeight="1">
      <c r="A70" s="60"/>
      <c r="B70" s="60"/>
      <c r="D70" s="61"/>
      <c r="F70" s="2"/>
      <c r="G70" s="2"/>
      <c r="H70" s="2"/>
      <c r="L70" s="62"/>
    </row>
    <row r="71" spans="1:12" ht="14.25" customHeight="1">
      <c r="A71" s="60"/>
      <c r="B71" s="60"/>
      <c r="D71" s="61"/>
      <c r="F71" s="2"/>
      <c r="G71" s="2"/>
      <c r="H71" s="2"/>
      <c r="L71" s="62"/>
    </row>
    <row r="72" spans="1:12" ht="14.25" customHeight="1">
      <c r="A72" s="60"/>
      <c r="B72" s="60"/>
      <c r="D72" s="61"/>
      <c r="F72" s="2"/>
      <c r="G72" s="2"/>
      <c r="H72" s="2"/>
      <c r="L72" s="62"/>
    </row>
    <row r="73" spans="1:12" ht="14.25" customHeight="1">
      <c r="A73" s="60"/>
      <c r="B73" s="60"/>
      <c r="D73" s="61"/>
      <c r="F73" s="2"/>
      <c r="G73" s="2"/>
      <c r="H73" s="2"/>
      <c r="L73" s="62"/>
    </row>
    <row r="74" spans="1:12" ht="14.25" customHeight="1">
      <c r="A74" s="60"/>
      <c r="B74" s="60"/>
      <c r="D74" s="61"/>
      <c r="F74" s="2"/>
      <c r="G74" s="2"/>
      <c r="H74" s="2"/>
      <c r="L74" s="62"/>
    </row>
    <row r="75" spans="1:12" ht="14.25" customHeight="1">
      <c r="A75" s="60"/>
      <c r="B75" s="60"/>
      <c r="D75" s="61"/>
      <c r="F75" s="2"/>
      <c r="G75" s="2"/>
      <c r="H75" s="2"/>
      <c r="L75" s="62"/>
    </row>
    <row r="76" spans="1:12" ht="14.25" customHeight="1">
      <c r="A76" s="60"/>
      <c r="B76" s="60"/>
      <c r="D76" s="61"/>
      <c r="F76" s="2"/>
      <c r="G76" s="2"/>
      <c r="H76" s="2"/>
      <c r="L76" s="62"/>
    </row>
    <row r="77" spans="1:12" ht="14.25" customHeight="1">
      <c r="A77" s="60"/>
      <c r="B77" s="60"/>
      <c r="D77" s="61"/>
      <c r="F77" s="2"/>
      <c r="G77" s="2"/>
      <c r="H77" s="2"/>
      <c r="L77" s="62"/>
    </row>
    <row r="78" spans="1:12" ht="14.25" customHeight="1">
      <c r="A78" s="60"/>
      <c r="B78" s="60"/>
      <c r="D78" s="61"/>
      <c r="F78" s="2"/>
      <c r="G78" s="2"/>
      <c r="H78" s="2"/>
      <c r="L78" s="62"/>
    </row>
    <row r="79" spans="1:12" ht="14.25" customHeight="1">
      <c r="A79" s="60"/>
      <c r="B79" s="60"/>
      <c r="D79" s="61"/>
      <c r="F79" s="2"/>
      <c r="G79" s="2"/>
      <c r="H79" s="2"/>
      <c r="L79" s="62"/>
    </row>
    <row r="80" spans="1:12" ht="14.25" customHeight="1">
      <c r="A80" s="60"/>
      <c r="B80" s="60"/>
      <c r="D80" s="61"/>
      <c r="F80" s="2"/>
      <c r="G80" s="2"/>
      <c r="H80" s="2"/>
      <c r="L80" s="62"/>
    </row>
    <row r="81" spans="1:12" ht="14.25" customHeight="1">
      <c r="A81" s="60"/>
      <c r="B81" s="60"/>
      <c r="D81" s="61"/>
      <c r="F81" s="2"/>
      <c r="G81" s="2"/>
      <c r="H81" s="2"/>
      <c r="L81" s="62"/>
    </row>
    <row r="82" spans="1:12" ht="14.25" customHeight="1">
      <c r="A82" s="60"/>
      <c r="B82" s="60"/>
      <c r="D82" s="61"/>
      <c r="F82" s="2"/>
      <c r="G82" s="2"/>
      <c r="H82" s="2"/>
      <c r="L82" s="62"/>
    </row>
    <row r="83" spans="1:12" ht="14.25" customHeight="1">
      <c r="A83" s="60"/>
      <c r="B83" s="60"/>
      <c r="D83" s="61"/>
      <c r="F83" s="2"/>
      <c r="G83" s="2"/>
      <c r="H83" s="2"/>
      <c r="L83" s="62"/>
    </row>
    <row r="84" spans="1:12" ht="14.25" customHeight="1">
      <c r="A84" s="60"/>
      <c r="B84" s="60"/>
      <c r="D84" s="61"/>
      <c r="F84" s="2"/>
      <c r="G84" s="2"/>
      <c r="H84" s="2"/>
      <c r="L84" s="62"/>
    </row>
    <row r="85" spans="1:12" ht="14.25" customHeight="1">
      <c r="A85" s="60"/>
      <c r="B85" s="60"/>
      <c r="D85" s="61"/>
      <c r="F85" s="2"/>
      <c r="G85" s="2"/>
      <c r="H85" s="2"/>
      <c r="L85" s="62"/>
    </row>
    <row r="86" spans="1:12" ht="14.25" customHeight="1">
      <c r="A86" s="60"/>
      <c r="B86" s="60"/>
      <c r="D86" s="61"/>
      <c r="F86" s="2"/>
      <c r="G86" s="2"/>
      <c r="H86" s="2"/>
      <c r="L86" s="62"/>
    </row>
    <row r="87" spans="1:12" ht="14.25" customHeight="1">
      <c r="A87" s="60"/>
      <c r="B87" s="60"/>
      <c r="D87" s="61"/>
      <c r="F87" s="2"/>
      <c r="G87" s="2"/>
      <c r="H87" s="2"/>
      <c r="L87" s="62"/>
    </row>
    <row r="88" spans="1:12" ht="14.25" customHeight="1">
      <c r="A88" s="60"/>
      <c r="B88" s="60"/>
      <c r="D88" s="61"/>
      <c r="F88" s="2"/>
      <c r="G88" s="2"/>
      <c r="H88" s="2"/>
      <c r="L88" s="62"/>
    </row>
    <row r="89" spans="1:12" ht="14.25" customHeight="1">
      <c r="A89" s="60"/>
      <c r="B89" s="60"/>
      <c r="D89" s="61"/>
      <c r="F89" s="2"/>
      <c r="G89" s="2"/>
      <c r="H89" s="2"/>
      <c r="L89" s="62"/>
    </row>
    <row r="90" spans="1:12" ht="14.25" customHeight="1">
      <c r="A90" s="60"/>
      <c r="B90" s="60"/>
      <c r="D90" s="61"/>
      <c r="F90" s="2"/>
      <c r="G90" s="2"/>
      <c r="H90" s="2"/>
      <c r="L90" s="62"/>
    </row>
    <row r="91" spans="1:12" ht="14.25" customHeight="1">
      <c r="A91" s="60"/>
      <c r="B91" s="60"/>
      <c r="D91" s="61"/>
      <c r="F91" s="2"/>
      <c r="G91" s="2"/>
      <c r="H91" s="2"/>
      <c r="L91" s="62"/>
    </row>
    <row r="92" spans="1:12" ht="14.25" customHeight="1">
      <c r="A92" s="60"/>
      <c r="B92" s="60"/>
      <c r="D92" s="61"/>
      <c r="F92" s="2"/>
      <c r="G92" s="2"/>
      <c r="H92" s="2"/>
      <c r="L92" s="62"/>
    </row>
    <row r="93" spans="1:12" ht="14.25" customHeight="1">
      <c r="A93" s="60"/>
      <c r="B93" s="60"/>
      <c r="D93" s="61"/>
      <c r="F93" s="2"/>
      <c r="G93" s="2"/>
      <c r="H93" s="2"/>
      <c r="L93" s="62"/>
    </row>
    <row r="94" spans="1:12" ht="14.25" customHeight="1">
      <c r="A94" s="60"/>
      <c r="B94" s="60"/>
      <c r="D94" s="61"/>
      <c r="F94" s="2"/>
      <c r="G94" s="2"/>
      <c r="H94" s="2"/>
      <c r="L94" s="62"/>
    </row>
    <row r="95" spans="1:12" ht="14.25" customHeight="1">
      <c r="A95" s="60"/>
      <c r="B95" s="60"/>
      <c r="D95" s="61"/>
      <c r="F95" s="2"/>
      <c r="G95" s="2"/>
      <c r="H95" s="2"/>
      <c r="L95" s="62"/>
    </row>
    <row r="96" spans="1:12" ht="14.25" customHeight="1">
      <c r="A96" s="60"/>
      <c r="B96" s="60"/>
      <c r="D96" s="61"/>
      <c r="F96" s="2"/>
      <c r="G96" s="2"/>
      <c r="H96" s="2"/>
      <c r="L96" s="62"/>
    </row>
    <row r="97" spans="1:12" ht="14.25" customHeight="1">
      <c r="A97" s="60"/>
      <c r="B97" s="60"/>
      <c r="D97" s="61"/>
      <c r="F97" s="2"/>
      <c r="G97" s="2"/>
      <c r="H97" s="2"/>
      <c r="L97" s="62"/>
    </row>
    <row r="98" spans="1:12" ht="14.25" customHeight="1">
      <c r="A98" s="60"/>
      <c r="B98" s="60"/>
      <c r="D98" s="61"/>
      <c r="F98" s="2"/>
      <c r="G98" s="2"/>
      <c r="H98" s="2"/>
      <c r="L98" s="62"/>
    </row>
    <row r="99" spans="1:12" ht="14.25" customHeight="1">
      <c r="A99" s="60"/>
      <c r="B99" s="60"/>
      <c r="D99" s="61"/>
      <c r="F99" s="2"/>
      <c r="G99" s="2"/>
      <c r="H99" s="2"/>
      <c r="L99" s="62"/>
    </row>
    <row r="100" spans="1:12" ht="14.25" customHeight="1">
      <c r="A100" s="60"/>
      <c r="B100" s="60"/>
      <c r="D100" s="61"/>
      <c r="F100" s="2"/>
      <c r="G100" s="2"/>
      <c r="H100" s="2"/>
      <c r="L100" s="62"/>
    </row>
    <row r="101" spans="1:12" ht="14.25" customHeight="1">
      <c r="A101" s="60"/>
      <c r="B101" s="60"/>
      <c r="D101" s="61"/>
      <c r="F101" s="2"/>
      <c r="G101" s="2"/>
      <c r="H101" s="2"/>
      <c r="L101" s="62"/>
    </row>
    <row r="102" spans="1:12" ht="14.25" customHeight="1">
      <c r="A102" s="60"/>
      <c r="B102" s="60"/>
      <c r="D102" s="61"/>
      <c r="F102" s="2"/>
      <c r="G102" s="2"/>
      <c r="H102" s="2"/>
      <c r="L102" s="62"/>
    </row>
    <row r="103" spans="1:12" ht="14.25" customHeight="1">
      <c r="A103" s="60"/>
      <c r="B103" s="60"/>
      <c r="D103" s="61"/>
      <c r="F103" s="2"/>
      <c r="G103" s="2"/>
      <c r="H103" s="2"/>
      <c r="L103" s="62"/>
    </row>
    <row r="104" spans="1:12" ht="14.25" customHeight="1">
      <c r="A104" s="60"/>
      <c r="B104" s="60"/>
      <c r="D104" s="61"/>
      <c r="F104" s="2"/>
      <c r="G104" s="2"/>
      <c r="H104" s="2"/>
      <c r="L104" s="62"/>
    </row>
    <row r="105" spans="1:12" ht="14.25" customHeight="1">
      <c r="A105" s="60"/>
      <c r="B105" s="60"/>
      <c r="D105" s="61"/>
      <c r="F105" s="2"/>
      <c r="G105" s="2"/>
      <c r="H105" s="2"/>
      <c r="L105" s="62"/>
    </row>
    <row r="106" spans="1:12" ht="14.25" customHeight="1">
      <c r="A106" s="60"/>
      <c r="B106" s="60"/>
      <c r="D106" s="61"/>
      <c r="F106" s="2"/>
      <c r="G106" s="2"/>
      <c r="H106" s="2"/>
      <c r="L106" s="62"/>
    </row>
    <row r="107" spans="1:12" ht="14.25" customHeight="1">
      <c r="A107" s="60"/>
      <c r="B107" s="60"/>
      <c r="D107" s="61"/>
      <c r="F107" s="2"/>
      <c r="G107" s="2"/>
      <c r="H107" s="2"/>
      <c r="L107" s="62"/>
    </row>
    <row r="108" spans="1:12" ht="14.25" customHeight="1">
      <c r="A108" s="60"/>
      <c r="B108" s="60"/>
      <c r="D108" s="61"/>
      <c r="F108" s="2"/>
      <c r="G108" s="2"/>
      <c r="H108" s="2"/>
      <c r="L108" s="62"/>
    </row>
    <row r="109" spans="1:12" ht="14.25" customHeight="1">
      <c r="A109" s="60"/>
      <c r="B109" s="60"/>
      <c r="D109" s="61"/>
      <c r="F109" s="2"/>
      <c r="G109" s="2"/>
      <c r="H109" s="2"/>
      <c r="L109" s="62"/>
    </row>
    <row r="110" spans="1:12" ht="14.25" customHeight="1">
      <c r="A110" s="60"/>
      <c r="B110" s="60"/>
      <c r="D110" s="61"/>
      <c r="F110" s="2"/>
      <c r="G110" s="2"/>
      <c r="H110" s="2"/>
      <c r="L110" s="62"/>
    </row>
    <row r="111" spans="1:12" ht="14.25" customHeight="1">
      <c r="A111" s="60"/>
      <c r="B111" s="60"/>
      <c r="D111" s="61"/>
      <c r="F111" s="2"/>
      <c r="G111" s="2"/>
      <c r="H111" s="2"/>
      <c r="L111" s="62"/>
    </row>
    <row r="112" spans="1:12" ht="14.25" customHeight="1">
      <c r="A112" s="60"/>
      <c r="B112" s="60"/>
      <c r="D112" s="61"/>
      <c r="F112" s="2"/>
      <c r="G112" s="2"/>
      <c r="H112" s="2"/>
      <c r="L112" s="62"/>
    </row>
    <row r="113" spans="1:12" ht="14.25" customHeight="1">
      <c r="A113" s="60"/>
      <c r="B113" s="60"/>
      <c r="D113" s="61"/>
      <c r="F113" s="2"/>
      <c r="G113" s="2"/>
      <c r="H113" s="2"/>
      <c r="L113" s="62"/>
    </row>
    <row r="114" spans="1:12" ht="14.25" customHeight="1">
      <c r="A114" s="60"/>
      <c r="B114" s="60"/>
      <c r="D114" s="61"/>
      <c r="F114" s="2"/>
      <c r="G114" s="2"/>
      <c r="H114" s="2"/>
      <c r="L114" s="62"/>
    </row>
    <row r="115" spans="1:12" ht="14.25" customHeight="1">
      <c r="A115" s="60"/>
      <c r="B115" s="60"/>
      <c r="D115" s="61"/>
      <c r="F115" s="2"/>
      <c r="G115" s="2"/>
      <c r="H115" s="2"/>
      <c r="L115" s="62"/>
    </row>
    <row r="116" spans="1:12" ht="14.25" customHeight="1">
      <c r="A116" s="60"/>
      <c r="B116" s="60"/>
      <c r="D116" s="61"/>
      <c r="F116" s="2"/>
      <c r="G116" s="2"/>
      <c r="H116" s="2"/>
      <c r="L116" s="62"/>
    </row>
    <row r="117" spans="1:12" ht="14.25" customHeight="1">
      <c r="A117" s="60"/>
      <c r="B117" s="60"/>
      <c r="D117" s="61"/>
      <c r="F117" s="2"/>
      <c r="G117" s="2"/>
      <c r="H117" s="2"/>
      <c r="L117" s="62"/>
    </row>
    <row r="118" spans="1:12" ht="14.25" customHeight="1">
      <c r="A118" s="60"/>
      <c r="B118" s="60"/>
      <c r="D118" s="61"/>
      <c r="F118" s="2"/>
      <c r="G118" s="2"/>
      <c r="H118" s="2"/>
      <c r="L118" s="62"/>
    </row>
    <row r="119" spans="1:12" ht="14.25" customHeight="1">
      <c r="A119" s="60"/>
      <c r="B119" s="60"/>
      <c r="D119" s="61"/>
      <c r="F119" s="2"/>
      <c r="G119" s="2"/>
      <c r="H119" s="2"/>
      <c r="L119" s="62"/>
    </row>
    <row r="120" spans="1:12" ht="14.25" customHeight="1">
      <c r="A120" s="60"/>
      <c r="B120" s="60"/>
      <c r="D120" s="61"/>
      <c r="F120" s="2"/>
      <c r="G120" s="2"/>
      <c r="H120" s="2"/>
      <c r="L120" s="62"/>
    </row>
    <row r="121" spans="1:12" ht="14.25" customHeight="1">
      <c r="A121" s="60"/>
      <c r="B121" s="60"/>
      <c r="D121" s="61"/>
      <c r="F121" s="2"/>
      <c r="G121" s="2"/>
      <c r="H121" s="2"/>
      <c r="L121" s="62"/>
    </row>
    <row r="122" spans="1:12" ht="14.25" customHeight="1">
      <c r="A122" s="60"/>
      <c r="B122" s="60"/>
      <c r="D122" s="61"/>
      <c r="F122" s="2"/>
      <c r="G122" s="2"/>
      <c r="H122" s="2"/>
      <c r="L122" s="62"/>
    </row>
    <row r="123" spans="1:12" ht="14.25" customHeight="1">
      <c r="A123" s="60"/>
      <c r="B123" s="60"/>
      <c r="D123" s="61"/>
      <c r="F123" s="2"/>
      <c r="G123" s="2"/>
      <c r="H123" s="2"/>
      <c r="L123" s="62"/>
    </row>
    <row r="124" spans="1:12" ht="14.25" customHeight="1">
      <c r="A124" s="60"/>
      <c r="B124" s="60"/>
      <c r="D124" s="61"/>
      <c r="F124" s="2"/>
      <c r="G124" s="2"/>
      <c r="H124" s="2"/>
      <c r="L124" s="62"/>
    </row>
    <row r="125" spans="1:12" ht="14.25" customHeight="1">
      <c r="A125" s="60"/>
      <c r="B125" s="60"/>
      <c r="D125" s="61"/>
      <c r="F125" s="2"/>
      <c r="G125" s="2"/>
      <c r="H125" s="2"/>
      <c r="L125" s="62"/>
    </row>
    <row r="126" spans="1:12" ht="14.25" customHeight="1">
      <c r="A126" s="60"/>
      <c r="B126" s="60"/>
      <c r="D126" s="61"/>
      <c r="F126" s="2"/>
      <c r="G126" s="2"/>
      <c r="H126" s="2"/>
      <c r="L126" s="62"/>
    </row>
    <row r="127" spans="1:12" ht="14.25" customHeight="1">
      <c r="A127" s="60"/>
      <c r="B127" s="60"/>
      <c r="D127" s="61"/>
      <c r="F127" s="2"/>
      <c r="G127" s="2"/>
      <c r="H127" s="2"/>
      <c r="L127" s="62"/>
    </row>
    <row r="128" spans="1:12" ht="14.25" customHeight="1">
      <c r="A128" s="60"/>
      <c r="B128" s="60"/>
      <c r="D128" s="61"/>
      <c r="F128" s="2"/>
      <c r="G128" s="2"/>
      <c r="H128" s="2"/>
      <c r="L128" s="62"/>
    </row>
    <row r="129" spans="1:12" ht="14.25" customHeight="1">
      <c r="A129" s="60"/>
      <c r="B129" s="60"/>
      <c r="D129" s="61"/>
      <c r="F129" s="2"/>
      <c r="G129" s="2"/>
      <c r="H129" s="2"/>
      <c r="L129" s="62"/>
    </row>
    <row r="130" spans="1:12" ht="14.25" customHeight="1">
      <c r="A130" s="60"/>
      <c r="B130" s="60"/>
      <c r="D130" s="61"/>
      <c r="F130" s="2"/>
      <c r="G130" s="2"/>
      <c r="H130" s="2"/>
      <c r="L130" s="62"/>
    </row>
    <row r="131" spans="1:12" ht="14.25" customHeight="1">
      <c r="A131" s="60"/>
      <c r="B131" s="60"/>
      <c r="D131" s="61"/>
      <c r="F131" s="2"/>
      <c r="G131" s="2"/>
      <c r="H131" s="2"/>
      <c r="L131" s="62"/>
    </row>
    <row r="132" spans="1:12" ht="14.25" customHeight="1">
      <c r="A132" s="60"/>
      <c r="B132" s="60"/>
      <c r="D132" s="61"/>
      <c r="F132" s="2"/>
      <c r="G132" s="2"/>
      <c r="H132" s="2"/>
      <c r="L132" s="62"/>
    </row>
    <row r="133" spans="1:12" ht="14.25" customHeight="1">
      <c r="A133" s="60"/>
      <c r="B133" s="60"/>
      <c r="D133" s="61"/>
      <c r="F133" s="2"/>
      <c r="G133" s="2"/>
      <c r="H133" s="2"/>
      <c r="L133" s="62"/>
    </row>
    <row r="134" spans="1:12" ht="14.25" customHeight="1">
      <c r="A134" s="60"/>
      <c r="B134" s="60"/>
      <c r="D134" s="61"/>
      <c r="F134" s="2"/>
      <c r="G134" s="2"/>
      <c r="H134" s="2"/>
      <c r="L134" s="62"/>
    </row>
    <row r="135" spans="1:12" ht="14.25" customHeight="1">
      <c r="A135" s="60"/>
      <c r="B135" s="60"/>
      <c r="D135" s="61"/>
      <c r="F135" s="2"/>
      <c r="G135" s="2"/>
      <c r="H135" s="2"/>
      <c r="L135" s="62"/>
    </row>
    <row r="136" spans="1:12" ht="14.25" customHeight="1">
      <c r="A136" s="60"/>
      <c r="B136" s="60"/>
      <c r="D136" s="61"/>
      <c r="F136" s="2"/>
      <c r="G136" s="2"/>
      <c r="H136" s="2"/>
      <c r="L136" s="62"/>
    </row>
    <row r="137" spans="1:12" ht="14.25" customHeight="1">
      <c r="A137" s="60"/>
      <c r="B137" s="60"/>
      <c r="D137" s="61"/>
      <c r="F137" s="2"/>
      <c r="G137" s="2"/>
      <c r="H137" s="2"/>
      <c r="L137" s="62"/>
    </row>
    <row r="138" spans="1:12" ht="14.25" customHeight="1">
      <c r="A138" s="60"/>
      <c r="B138" s="60"/>
      <c r="D138" s="61"/>
      <c r="F138" s="2"/>
      <c r="G138" s="2"/>
      <c r="H138" s="2"/>
      <c r="L138" s="62"/>
    </row>
    <row r="139" spans="1:12" ht="14.25" customHeight="1">
      <c r="A139" s="60"/>
      <c r="B139" s="60"/>
      <c r="D139" s="61"/>
      <c r="F139" s="2"/>
      <c r="G139" s="2"/>
      <c r="H139" s="2"/>
      <c r="L139" s="62"/>
    </row>
    <row r="140" spans="1:12" ht="14.25" customHeight="1">
      <c r="A140" s="60"/>
      <c r="B140" s="60"/>
      <c r="D140" s="61"/>
      <c r="F140" s="2"/>
      <c r="G140" s="2"/>
      <c r="H140" s="2"/>
      <c r="L140" s="62"/>
    </row>
    <row r="141" spans="1:12" ht="14.25" customHeight="1">
      <c r="A141" s="60"/>
      <c r="B141" s="60"/>
      <c r="D141" s="61"/>
      <c r="F141" s="2"/>
      <c r="G141" s="2"/>
      <c r="H141" s="2"/>
      <c r="L141" s="62"/>
    </row>
    <row r="142" spans="1:12" ht="14.25" customHeight="1">
      <c r="A142" s="60"/>
      <c r="B142" s="60"/>
      <c r="D142" s="61"/>
      <c r="F142" s="2"/>
      <c r="G142" s="2"/>
      <c r="H142" s="2"/>
      <c r="L142" s="62"/>
    </row>
    <row r="143" spans="1:12" ht="14.25" customHeight="1">
      <c r="A143" s="60"/>
      <c r="B143" s="60"/>
      <c r="D143" s="61"/>
      <c r="F143" s="2"/>
      <c r="G143" s="2"/>
      <c r="H143" s="2"/>
      <c r="L143" s="62"/>
    </row>
    <row r="144" spans="1:12" ht="14.25" customHeight="1">
      <c r="A144" s="60"/>
      <c r="B144" s="60"/>
      <c r="D144" s="61"/>
      <c r="F144" s="2"/>
      <c r="G144" s="2"/>
      <c r="H144" s="2"/>
      <c r="L144" s="62"/>
    </row>
    <row r="145" spans="1:12" ht="14.25" customHeight="1">
      <c r="A145" s="60"/>
      <c r="B145" s="60"/>
      <c r="D145" s="61"/>
      <c r="F145" s="2"/>
      <c r="G145" s="2"/>
      <c r="H145" s="2"/>
      <c r="L145" s="62"/>
    </row>
    <row r="146" spans="1:12" ht="14.25" customHeight="1">
      <c r="A146" s="60"/>
      <c r="B146" s="60"/>
      <c r="D146" s="61"/>
      <c r="F146" s="2"/>
      <c r="G146" s="2"/>
      <c r="H146" s="2"/>
      <c r="L146" s="62"/>
    </row>
    <row r="147" spans="1:12" ht="14.25" customHeight="1">
      <c r="A147" s="60"/>
      <c r="B147" s="60"/>
      <c r="D147" s="61"/>
      <c r="F147" s="2"/>
      <c r="G147" s="2"/>
      <c r="H147" s="2"/>
      <c r="L147" s="62"/>
    </row>
    <row r="148" spans="1:12" ht="14.25" customHeight="1">
      <c r="A148" s="60"/>
      <c r="B148" s="60"/>
      <c r="D148" s="61"/>
      <c r="F148" s="2"/>
      <c r="G148" s="2"/>
      <c r="H148" s="2"/>
      <c r="L148" s="62"/>
    </row>
    <row r="149" spans="1:12" ht="14.25" customHeight="1">
      <c r="A149" s="60"/>
      <c r="B149" s="60"/>
      <c r="D149" s="61"/>
      <c r="F149" s="2"/>
      <c r="G149" s="2"/>
      <c r="H149" s="2"/>
      <c r="L149" s="62"/>
    </row>
    <row r="150" spans="1:12" ht="14.25" customHeight="1">
      <c r="A150" s="60"/>
      <c r="B150" s="60"/>
      <c r="D150" s="61"/>
      <c r="F150" s="2"/>
      <c r="G150" s="2"/>
      <c r="H150" s="2"/>
      <c r="L150" s="62"/>
    </row>
    <row r="151" spans="1:12" ht="14.25" customHeight="1">
      <c r="A151" s="60"/>
      <c r="B151" s="60"/>
      <c r="D151" s="61"/>
      <c r="F151" s="2"/>
      <c r="G151" s="2"/>
      <c r="H151" s="2"/>
      <c r="L151" s="62"/>
    </row>
    <row r="152" spans="1:12" ht="14.25" customHeight="1">
      <c r="A152" s="60"/>
      <c r="B152" s="60"/>
      <c r="D152" s="61"/>
      <c r="F152" s="2"/>
      <c r="G152" s="2"/>
      <c r="H152" s="2"/>
      <c r="L152" s="62"/>
    </row>
    <row r="153" spans="1:12" ht="14.25" customHeight="1">
      <c r="A153" s="60"/>
      <c r="B153" s="60"/>
      <c r="D153" s="61"/>
      <c r="F153" s="2"/>
      <c r="G153" s="2"/>
      <c r="H153" s="2"/>
      <c r="L153" s="62"/>
    </row>
    <row r="154" spans="1:12" ht="14.25" customHeight="1">
      <c r="A154" s="60"/>
      <c r="B154" s="60"/>
      <c r="D154" s="61"/>
      <c r="F154" s="2"/>
      <c r="G154" s="2"/>
      <c r="H154" s="2"/>
      <c r="L154" s="62"/>
    </row>
    <row r="155" spans="1:12" ht="14.25" customHeight="1">
      <c r="A155" s="60"/>
      <c r="B155" s="60"/>
      <c r="D155" s="61"/>
      <c r="F155" s="2"/>
      <c r="G155" s="2"/>
      <c r="H155" s="2"/>
      <c r="L155" s="62"/>
    </row>
    <row r="156" spans="1:12" ht="14.25" customHeight="1">
      <c r="A156" s="60"/>
      <c r="B156" s="60"/>
      <c r="D156" s="61"/>
      <c r="F156" s="2"/>
      <c r="G156" s="2"/>
      <c r="H156" s="2"/>
      <c r="L156" s="62"/>
    </row>
    <row r="157" spans="1:12" ht="14.25" customHeight="1">
      <c r="A157" s="60"/>
      <c r="B157" s="60"/>
      <c r="D157" s="61"/>
      <c r="F157" s="2"/>
      <c r="G157" s="2"/>
      <c r="H157" s="2"/>
      <c r="L157" s="62"/>
    </row>
    <row r="158" spans="1:12" ht="14.25" customHeight="1">
      <c r="A158" s="60"/>
      <c r="B158" s="60"/>
      <c r="D158" s="61"/>
      <c r="F158" s="2"/>
      <c r="G158" s="2"/>
      <c r="H158" s="2"/>
      <c r="L158" s="62"/>
    </row>
    <row r="159" spans="1:12" ht="14.25" customHeight="1">
      <c r="A159" s="60"/>
      <c r="B159" s="60"/>
      <c r="D159" s="61"/>
      <c r="F159" s="2"/>
      <c r="G159" s="2"/>
      <c r="H159" s="2"/>
      <c r="L159" s="62"/>
    </row>
    <row r="160" spans="1:12" ht="14.25" customHeight="1">
      <c r="A160" s="60"/>
      <c r="B160" s="60"/>
      <c r="D160" s="61"/>
      <c r="F160" s="2"/>
      <c r="G160" s="2"/>
      <c r="H160" s="2"/>
      <c r="L160" s="62"/>
    </row>
    <row r="161" spans="1:12" ht="14.25" customHeight="1">
      <c r="A161" s="60"/>
      <c r="B161" s="60"/>
      <c r="D161" s="61"/>
      <c r="F161" s="2"/>
      <c r="G161" s="2"/>
      <c r="H161" s="2"/>
      <c r="L161" s="62"/>
    </row>
    <row r="162" spans="1:12" ht="14.25" customHeight="1">
      <c r="A162" s="60"/>
      <c r="B162" s="60"/>
      <c r="D162" s="61"/>
      <c r="F162" s="2"/>
      <c r="G162" s="2"/>
      <c r="H162" s="2"/>
      <c r="L162" s="62"/>
    </row>
    <row r="163" spans="1:12" ht="14.25" customHeight="1">
      <c r="A163" s="60"/>
      <c r="B163" s="60"/>
      <c r="D163" s="61"/>
      <c r="F163" s="2"/>
      <c r="G163" s="2"/>
      <c r="H163" s="2"/>
      <c r="L163" s="62"/>
    </row>
    <row r="164" spans="1:12" ht="14.25" customHeight="1">
      <c r="A164" s="60"/>
      <c r="B164" s="60"/>
      <c r="D164" s="61"/>
      <c r="F164" s="2"/>
      <c r="G164" s="2"/>
      <c r="H164" s="2"/>
      <c r="L164" s="62"/>
    </row>
    <row r="165" spans="1:12" ht="14.25" customHeight="1">
      <c r="A165" s="60"/>
      <c r="B165" s="60"/>
      <c r="D165" s="61"/>
      <c r="F165" s="2"/>
      <c r="G165" s="2"/>
      <c r="H165" s="2"/>
      <c r="L165" s="62"/>
    </row>
    <row r="166" spans="1:12" ht="14.25" customHeight="1">
      <c r="A166" s="60"/>
      <c r="B166" s="60"/>
      <c r="D166" s="61"/>
      <c r="F166" s="2"/>
      <c r="G166" s="2"/>
      <c r="H166" s="2"/>
      <c r="L166" s="62"/>
    </row>
    <row r="167" spans="1:12" ht="14.25" customHeight="1">
      <c r="A167" s="60"/>
      <c r="B167" s="60"/>
      <c r="D167" s="61"/>
      <c r="F167" s="2"/>
      <c r="G167" s="2"/>
      <c r="H167" s="2"/>
      <c r="L167" s="62"/>
    </row>
    <row r="168" spans="1:12" ht="14.25" customHeight="1">
      <c r="A168" s="60"/>
      <c r="B168" s="60"/>
      <c r="D168" s="61"/>
      <c r="F168" s="2"/>
      <c r="G168" s="2"/>
      <c r="H168" s="2"/>
      <c r="L168" s="62"/>
    </row>
    <row r="169" spans="1:12" ht="14.25" customHeight="1">
      <c r="A169" s="60"/>
      <c r="B169" s="60"/>
      <c r="D169" s="61"/>
      <c r="F169" s="2"/>
      <c r="G169" s="2"/>
      <c r="H169" s="2"/>
      <c r="L169" s="62"/>
    </row>
    <row r="170" spans="1:12" ht="14.25" customHeight="1">
      <c r="A170" s="60"/>
      <c r="B170" s="60"/>
      <c r="D170" s="61"/>
      <c r="F170" s="2"/>
      <c r="G170" s="2"/>
      <c r="H170" s="2"/>
      <c r="L170" s="62"/>
    </row>
    <row r="171" spans="1:12" ht="14.25" customHeight="1">
      <c r="A171" s="60"/>
      <c r="B171" s="60"/>
      <c r="D171" s="61"/>
      <c r="F171" s="2"/>
      <c r="G171" s="2"/>
      <c r="H171" s="2"/>
      <c r="L171" s="62"/>
    </row>
    <row r="172" spans="1:12" ht="14.25" customHeight="1">
      <c r="A172" s="60"/>
      <c r="B172" s="60"/>
      <c r="D172" s="61"/>
      <c r="F172" s="2"/>
      <c r="G172" s="2"/>
      <c r="H172" s="2"/>
      <c r="L172" s="62"/>
    </row>
    <row r="173" spans="1:12" ht="14.25" customHeight="1">
      <c r="A173" s="60"/>
      <c r="B173" s="60"/>
      <c r="D173" s="61"/>
      <c r="F173" s="2"/>
      <c r="G173" s="2"/>
      <c r="H173" s="2"/>
      <c r="L173" s="62"/>
    </row>
    <row r="174" spans="1:12" ht="14.25" customHeight="1">
      <c r="A174" s="60"/>
      <c r="B174" s="60"/>
      <c r="D174" s="61"/>
      <c r="F174" s="2"/>
      <c r="G174" s="2"/>
      <c r="H174" s="2"/>
      <c r="L174" s="62"/>
    </row>
    <row r="175" spans="1:12" ht="14.25" customHeight="1">
      <c r="A175" s="60"/>
      <c r="B175" s="60"/>
      <c r="D175" s="61"/>
      <c r="F175" s="2"/>
      <c r="G175" s="2"/>
      <c r="H175" s="2"/>
      <c r="L175" s="62"/>
    </row>
    <row r="176" spans="1:12" ht="14.25" customHeight="1">
      <c r="A176" s="60"/>
      <c r="B176" s="60"/>
      <c r="D176" s="61"/>
      <c r="F176" s="2"/>
      <c r="G176" s="2"/>
      <c r="H176" s="2"/>
      <c r="L176" s="62"/>
    </row>
    <row r="177" spans="1:12" ht="14.25" customHeight="1">
      <c r="A177" s="60"/>
      <c r="B177" s="60"/>
      <c r="D177" s="61"/>
      <c r="F177" s="2"/>
      <c r="G177" s="2"/>
      <c r="H177" s="2"/>
      <c r="L177" s="62"/>
    </row>
    <row r="178" spans="1:12" ht="14.25" customHeight="1">
      <c r="A178" s="60"/>
      <c r="B178" s="60"/>
      <c r="D178" s="61"/>
      <c r="F178" s="2"/>
      <c r="G178" s="2"/>
      <c r="H178" s="2"/>
      <c r="L178" s="62"/>
    </row>
    <row r="179" spans="1:12" ht="14.25" customHeight="1">
      <c r="A179" s="60"/>
      <c r="B179" s="60"/>
      <c r="D179" s="61"/>
      <c r="F179" s="2"/>
      <c r="G179" s="2"/>
      <c r="H179" s="2"/>
      <c r="L179" s="62"/>
    </row>
    <row r="180" spans="1:12" ht="14.25" customHeight="1">
      <c r="A180" s="60"/>
      <c r="B180" s="60"/>
      <c r="D180" s="61"/>
      <c r="F180" s="2"/>
      <c r="G180" s="2"/>
      <c r="H180" s="2"/>
      <c r="L180" s="62"/>
    </row>
    <row r="181" spans="1:12" ht="14.25" customHeight="1">
      <c r="A181" s="60"/>
      <c r="B181" s="60"/>
      <c r="D181" s="61"/>
      <c r="F181" s="2"/>
      <c r="G181" s="2"/>
      <c r="H181" s="2"/>
      <c r="L181" s="62"/>
    </row>
    <row r="182" spans="1:12" ht="14.25" customHeight="1">
      <c r="A182" s="60"/>
      <c r="B182" s="60"/>
      <c r="D182" s="61"/>
      <c r="F182" s="2"/>
      <c r="G182" s="2"/>
      <c r="H182" s="2"/>
      <c r="L182" s="62"/>
    </row>
    <row r="183" spans="1:12" ht="14.25" customHeight="1">
      <c r="A183" s="60"/>
      <c r="B183" s="60"/>
      <c r="D183" s="61"/>
      <c r="F183" s="2"/>
      <c r="G183" s="2"/>
      <c r="H183" s="2"/>
      <c r="L183" s="62"/>
    </row>
    <row r="184" spans="1:12" ht="14.25" customHeight="1">
      <c r="A184" s="60"/>
      <c r="B184" s="60"/>
      <c r="D184" s="61"/>
      <c r="F184" s="2"/>
      <c r="G184" s="2"/>
      <c r="H184" s="2"/>
      <c r="L184" s="62"/>
    </row>
    <row r="185" spans="1:12" ht="14.25" customHeight="1">
      <c r="A185" s="60"/>
      <c r="B185" s="60"/>
      <c r="D185" s="61"/>
      <c r="F185" s="2"/>
      <c r="G185" s="2"/>
      <c r="H185" s="2"/>
      <c r="L185" s="62"/>
    </row>
    <row r="186" spans="1:12" ht="14.25" customHeight="1">
      <c r="A186" s="60"/>
      <c r="B186" s="60"/>
      <c r="D186" s="61"/>
      <c r="F186" s="2"/>
      <c r="G186" s="2"/>
      <c r="H186" s="2"/>
      <c r="L186" s="62"/>
    </row>
    <row r="187" spans="1:12" ht="14.25" customHeight="1">
      <c r="A187" s="60"/>
      <c r="B187" s="60"/>
      <c r="D187" s="61"/>
      <c r="F187" s="2"/>
      <c r="G187" s="2"/>
      <c r="H187" s="2"/>
      <c r="L187" s="62"/>
    </row>
    <row r="188" spans="1:12" ht="14.25" customHeight="1">
      <c r="A188" s="60"/>
      <c r="B188" s="60"/>
      <c r="D188" s="61"/>
      <c r="F188" s="2"/>
      <c r="G188" s="2"/>
      <c r="H188" s="2"/>
      <c r="L188" s="62"/>
    </row>
    <row r="189" spans="1:12" ht="14.25" customHeight="1">
      <c r="A189" s="60"/>
      <c r="B189" s="60"/>
      <c r="D189" s="61"/>
      <c r="F189" s="2"/>
      <c r="G189" s="2"/>
      <c r="H189" s="2"/>
      <c r="L189" s="62"/>
    </row>
    <row r="190" spans="1:12" ht="14.25" customHeight="1">
      <c r="A190" s="60"/>
      <c r="B190" s="60"/>
      <c r="D190" s="61"/>
      <c r="F190" s="2"/>
      <c r="G190" s="2"/>
      <c r="H190" s="2"/>
      <c r="L190" s="62"/>
    </row>
    <row r="191" spans="1:12" ht="14.25" customHeight="1">
      <c r="A191" s="60"/>
      <c r="B191" s="60"/>
      <c r="D191" s="61"/>
      <c r="F191" s="2"/>
      <c r="G191" s="2"/>
      <c r="H191" s="2"/>
      <c r="L191" s="62"/>
    </row>
    <row r="192" spans="1:12" ht="14.25" customHeight="1">
      <c r="A192" s="60"/>
      <c r="B192" s="60"/>
      <c r="D192" s="61"/>
      <c r="F192" s="2"/>
      <c r="G192" s="2"/>
      <c r="H192" s="2"/>
      <c r="L192" s="62"/>
    </row>
    <row r="193" spans="1:12" ht="14.25" customHeight="1">
      <c r="A193" s="60"/>
      <c r="B193" s="60"/>
      <c r="D193" s="61"/>
      <c r="F193" s="2"/>
      <c r="G193" s="2"/>
      <c r="H193" s="2"/>
      <c r="L193" s="62"/>
    </row>
    <row r="194" spans="1:12" ht="14.25" customHeight="1">
      <c r="A194" s="60"/>
      <c r="B194" s="60"/>
      <c r="D194" s="61"/>
      <c r="F194" s="2"/>
      <c r="G194" s="2"/>
      <c r="H194" s="2"/>
      <c r="L194" s="62"/>
    </row>
    <row r="195" spans="1:12" ht="14.25" customHeight="1">
      <c r="A195" s="60"/>
      <c r="B195" s="60"/>
      <c r="D195" s="61"/>
      <c r="F195" s="2"/>
      <c r="G195" s="2"/>
      <c r="H195" s="2"/>
      <c r="L195" s="62"/>
    </row>
    <row r="196" spans="1:12" ht="14.25" customHeight="1">
      <c r="A196" s="60"/>
      <c r="B196" s="60"/>
      <c r="D196" s="61"/>
      <c r="F196" s="2"/>
      <c r="G196" s="2"/>
      <c r="H196" s="2"/>
      <c r="L196" s="62"/>
    </row>
    <row r="197" spans="1:12" ht="14.25" customHeight="1">
      <c r="A197" s="60"/>
      <c r="B197" s="60"/>
      <c r="D197" s="61"/>
      <c r="F197" s="2"/>
      <c r="G197" s="2"/>
      <c r="H197" s="2"/>
      <c r="L197" s="62"/>
    </row>
    <row r="198" spans="1:12" ht="14.25" customHeight="1">
      <c r="A198" s="60"/>
      <c r="B198" s="60"/>
      <c r="D198" s="61"/>
      <c r="F198" s="2"/>
      <c r="G198" s="2"/>
      <c r="H198" s="2"/>
      <c r="L198" s="62"/>
    </row>
    <row r="199" spans="1:12" ht="14.25" customHeight="1">
      <c r="A199" s="60"/>
      <c r="B199" s="60"/>
      <c r="D199" s="61"/>
      <c r="F199" s="2"/>
      <c r="G199" s="2"/>
      <c r="H199" s="2"/>
      <c r="L199" s="62"/>
    </row>
    <row r="200" spans="1:12" ht="14.25" customHeight="1">
      <c r="A200" s="60"/>
      <c r="B200" s="60"/>
      <c r="D200" s="61"/>
      <c r="F200" s="2"/>
      <c r="G200" s="2"/>
      <c r="H200" s="2"/>
      <c r="L200" s="62"/>
    </row>
    <row r="201" spans="1:12" ht="14.25" customHeight="1">
      <c r="A201" s="60"/>
      <c r="B201" s="60"/>
      <c r="D201" s="61"/>
      <c r="F201" s="2"/>
      <c r="G201" s="2"/>
      <c r="H201" s="2"/>
      <c r="L201" s="62"/>
    </row>
    <row r="202" spans="1:12" ht="14.25" customHeight="1">
      <c r="A202" s="60"/>
      <c r="B202" s="60"/>
      <c r="D202" s="61"/>
      <c r="F202" s="2"/>
      <c r="G202" s="2"/>
      <c r="H202" s="2"/>
      <c r="L202" s="62"/>
    </row>
    <row r="203" spans="1:12" ht="14.25" customHeight="1">
      <c r="A203" s="60"/>
      <c r="B203" s="60"/>
      <c r="D203" s="61"/>
      <c r="F203" s="2"/>
      <c r="G203" s="2"/>
      <c r="H203" s="2"/>
      <c r="L203" s="62"/>
    </row>
    <row r="204" spans="1:12" ht="14.25" customHeight="1">
      <c r="A204" s="60"/>
      <c r="B204" s="60"/>
      <c r="D204" s="61"/>
      <c r="F204" s="2"/>
      <c r="G204" s="2"/>
      <c r="H204" s="2"/>
      <c r="L204" s="62"/>
    </row>
    <row r="205" spans="1:12" ht="14.25" customHeight="1">
      <c r="A205" s="60"/>
      <c r="B205" s="60"/>
      <c r="D205" s="61"/>
      <c r="F205" s="2"/>
      <c r="G205" s="2"/>
      <c r="H205" s="2"/>
      <c r="L205" s="62"/>
    </row>
    <row r="206" spans="1:12" ht="14.25" customHeight="1">
      <c r="A206" s="60"/>
      <c r="B206" s="60"/>
      <c r="D206" s="61"/>
      <c r="F206" s="2"/>
      <c r="G206" s="2"/>
      <c r="H206" s="2"/>
      <c r="L206" s="62"/>
    </row>
    <row r="207" spans="1:12" ht="14.25" customHeight="1">
      <c r="A207" s="60"/>
      <c r="B207" s="60"/>
      <c r="D207" s="61"/>
      <c r="F207" s="2"/>
      <c r="G207" s="2"/>
      <c r="H207" s="2"/>
      <c r="L207" s="62"/>
    </row>
    <row r="208" spans="1:12" ht="14.25" customHeight="1">
      <c r="A208" s="60"/>
      <c r="B208" s="60"/>
      <c r="D208" s="61"/>
      <c r="F208" s="2"/>
      <c r="G208" s="2"/>
      <c r="H208" s="2"/>
      <c r="L208" s="62"/>
    </row>
    <row r="209" spans="1:12" ht="14.25" customHeight="1">
      <c r="A209" s="60"/>
      <c r="B209" s="60"/>
      <c r="D209" s="61"/>
      <c r="F209" s="2"/>
      <c r="G209" s="2"/>
      <c r="H209" s="2"/>
      <c r="L209" s="62"/>
    </row>
    <row r="210" spans="1:12" ht="14.25" customHeight="1">
      <c r="A210" s="60"/>
      <c r="B210" s="60"/>
      <c r="D210" s="61"/>
      <c r="F210" s="2"/>
      <c r="G210" s="2"/>
      <c r="H210" s="2"/>
      <c r="L210" s="62"/>
    </row>
    <row r="211" spans="1:12" ht="14.25" customHeight="1">
      <c r="A211" s="60"/>
      <c r="B211" s="60"/>
      <c r="D211" s="61"/>
      <c r="F211" s="2"/>
      <c r="G211" s="2"/>
      <c r="H211" s="2"/>
      <c r="L211" s="62"/>
    </row>
    <row r="212" spans="1:12" ht="14.25" customHeight="1">
      <c r="A212" s="60"/>
      <c r="B212" s="60"/>
      <c r="D212" s="61"/>
      <c r="F212" s="2"/>
      <c r="G212" s="2"/>
      <c r="H212" s="2"/>
      <c r="L212" s="62"/>
    </row>
    <row r="213" spans="1:12" ht="14.25" customHeight="1">
      <c r="A213" s="60"/>
      <c r="B213" s="60"/>
      <c r="D213" s="61"/>
      <c r="F213" s="2"/>
      <c r="G213" s="2"/>
      <c r="H213" s="2"/>
      <c r="L213" s="62"/>
    </row>
    <row r="214" spans="1:12" ht="14.25" customHeight="1">
      <c r="A214" s="60"/>
      <c r="B214" s="60"/>
      <c r="D214" s="61"/>
      <c r="F214" s="2"/>
      <c r="G214" s="2"/>
      <c r="H214" s="2"/>
      <c r="L214" s="62"/>
    </row>
    <row r="215" spans="1:12" ht="14.25" customHeight="1">
      <c r="A215" s="60"/>
      <c r="B215" s="60"/>
      <c r="D215" s="61"/>
      <c r="F215" s="2"/>
      <c r="G215" s="2"/>
      <c r="H215" s="2"/>
      <c r="L215" s="62"/>
    </row>
    <row r="216" spans="1:12" ht="14.25" customHeight="1">
      <c r="A216" s="60"/>
      <c r="B216" s="60"/>
      <c r="D216" s="61"/>
      <c r="F216" s="2"/>
      <c r="G216" s="2"/>
      <c r="H216" s="2"/>
      <c r="L216" s="62"/>
    </row>
    <row r="217" spans="1:12" ht="14.25" customHeight="1">
      <c r="A217" s="60"/>
      <c r="B217" s="60"/>
      <c r="D217" s="61"/>
      <c r="F217" s="2"/>
      <c r="G217" s="2"/>
      <c r="H217" s="2"/>
      <c r="L217" s="62"/>
    </row>
    <row r="218" spans="1:12" ht="14.25" customHeight="1">
      <c r="A218" s="60"/>
      <c r="B218" s="60"/>
      <c r="D218" s="61"/>
      <c r="F218" s="2"/>
      <c r="G218" s="2"/>
      <c r="H218" s="2"/>
      <c r="L218" s="62"/>
    </row>
    <row r="219" spans="1:12" ht="14.25" customHeight="1">
      <c r="A219" s="60"/>
      <c r="B219" s="60"/>
      <c r="D219" s="61"/>
      <c r="F219" s="2"/>
      <c r="G219" s="2"/>
      <c r="H219" s="2"/>
      <c r="L219" s="62"/>
    </row>
    <row r="220" spans="1:12" ht="14.25" customHeight="1">
      <c r="A220" s="60"/>
      <c r="B220" s="60"/>
      <c r="D220" s="61"/>
      <c r="F220" s="2"/>
      <c r="G220" s="2"/>
      <c r="H220" s="2"/>
      <c r="L220" s="62"/>
    </row>
    <row r="221" spans="1:12" ht="14.25" customHeight="1">
      <c r="A221" s="60"/>
      <c r="B221" s="60"/>
      <c r="D221" s="61"/>
      <c r="F221" s="2"/>
      <c r="G221" s="2"/>
      <c r="H221" s="2"/>
      <c r="L221" s="62"/>
    </row>
    <row r="222" spans="1:12" ht="14.25" customHeight="1">
      <c r="A222" s="60"/>
      <c r="B222" s="60"/>
      <c r="D222" s="61"/>
      <c r="F222" s="2"/>
      <c r="G222" s="2"/>
      <c r="H222" s="2"/>
      <c r="L222" s="62"/>
    </row>
    <row r="223" spans="1:12" ht="14.25" customHeight="1">
      <c r="A223" s="60"/>
      <c r="B223" s="60"/>
      <c r="D223" s="61"/>
      <c r="F223" s="2"/>
      <c r="G223" s="2"/>
      <c r="H223" s="2"/>
      <c r="L223" s="62"/>
    </row>
    <row r="224" spans="1:12" ht="14.25" customHeight="1">
      <c r="A224" s="60"/>
      <c r="B224" s="60"/>
      <c r="D224" s="61"/>
      <c r="F224" s="2"/>
      <c r="G224" s="2"/>
      <c r="H224" s="2"/>
      <c r="L224" s="62"/>
    </row>
    <row r="225" spans="1:12" ht="14.25" customHeight="1">
      <c r="A225" s="60"/>
      <c r="B225" s="60"/>
      <c r="D225" s="61"/>
      <c r="F225" s="2"/>
      <c r="G225" s="2"/>
      <c r="H225" s="2"/>
      <c r="L225" s="62"/>
    </row>
    <row r="226" spans="1:12" ht="14.25" customHeight="1">
      <c r="A226" s="60"/>
      <c r="B226" s="60"/>
      <c r="D226" s="61"/>
      <c r="F226" s="2"/>
      <c r="G226" s="2"/>
      <c r="H226" s="2"/>
      <c r="L226" s="62"/>
    </row>
    <row r="227" spans="1:12" ht="14.25" customHeight="1">
      <c r="A227" s="60"/>
      <c r="B227" s="60"/>
      <c r="D227" s="61"/>
      <c r="F227" s="2"/>
      <c r="G227" s="2"/>
      <c r="H227" s="2"/>
      <c r="L227" s="62"/>
    </row>
    <row r="228" spans="1:12" ht="14.25" customHeight="1">
      <c r="A228" s="60"/>
      <c r="B228" s="60"/>
      <c r="D228" s="61"/>
      <c r="F228" s="2"/>
      <c r="G228" s="2"/>
      <c r="H228" s="2"/>
      <c r="L228" s="62"/>
    </row>
    <row r="229" spans="1:12" ht="14.25" customHeight="1">
      <c r="A229" s="60"/>
      <c r="B229" s="60"/>
      <c r="D229" s="61"/>
      <c r="F229" s="2"/>
      <c r="G229" s="2"/>
      <c r="H229" s="2"/>
      <c r="L229" s="62"/>
    </row>
    <row r="230" spans="1:12" ht="14.25" customHeight="1">
      <c r="A230" s="60"/>
      <c r="B230" s="60"/>
      <c r="D230" s="61"/>
      <c r="F230" s="2"/>
      <c r="G230" s="2"/>
      <c r="H230" s="2"/>
      <c r="L230" s="62"/>
    </row>
    <row r="231" spans="1:12" ht="14.25" customHeight="1">
      <c r="A231" s="60"/>
      <c r="B231" s="60"/>
      <c r="D231" s="61"/>
      <c r="F231" s="2"/>
      <c r="G231" s="2"/>
      <c r="H231" s="2"/>
      <c r="L231" s="62"/>
    </row>
    <row r="232" spans="1:12" ht="14.25" customHeight="1">
      <c r="A232" s="60"/>
      <c r="B232" s="60"/>
      <c r="D232" s="61"/>
      <c r="F232" s="2"/>
      <c r="G232" s="2"/>
      <c r="H232" s="2"/>
      <c r="L232" s="62"/>
    </row>
    <row r="233" spans="1:12" ht="14.25" customHeight="1">
      <c r="A233" s="60"/>
      <c r="B233" s="60"/>
      <c r="D233" s="61"/>
      <c r="F233" s="2"/>
      <c r="G233" s="2"/>
      <c r="H233" s="2"/>
      <c r="L233" s="62"/>
    </row>
    <row r="234" spans="1:12" ht="14.25" customHeight="1">
      <c r="A234" s="60"/>
      <c r="B234" s="60"/>
      <c r="D234" s="61"/>
      <c r="F234" s="2"/>
      <c r="G234" s="2"/>
      <c r="H234" s="2"/>
      <c r="L234" s="62"/>
    </row>
    <row r="235" spans="1:12" ht="14.25" customHeight="1">
      <c r="A235" s="60"/>
      <c r="B235" s="60"/>
      <c r="D235" s="61"/>
      <c r="F235" s="2"/>
      <c r="G235" s="2"/>
      <c r="H235" s="2"/>
      <c r="L235" s="62"/>
    </row>
    <row r="236" spans="1:12" ht="14.25" customHeight="1">
      <c r="A236" s="60"/>
      <c r="B236" s="60"/>
      <c r="D236" s="61"/>
      <c r="F236" s="2"/>
      <c r="G236" s="2"/>
      <c r="H236" s="2"/>
      <c r="L236" s="62"/>
    </row>
    <row r="237" spans="1:12" ht="14.25" customHeight="1">
      <c r="A237" s="60"/>
      <c r="B237" s="60"/>
      <c r="D237" s="61"/>
      <c r="F237" s="2"/>
      <c r="G237" s="2"/>
      <c r="H237" s="2"/>
      <c r="L237" s="62"/>
    </row>
    <row r="238" spans="1:12" ht="14.25" customHeight="1">
      <c r="A238" s="60"/>
      <c r="B238" s="60"/>
      <c r="D238" s="61"/>
      <c r="F238" s="2"/>
      <c r="G238" s="2"/>
      <c r="H238" s="2"/>
      <c r="L238" s="62"/>
    </row>
    <row r="239" spans="1:12" ht="14.25" customHeight="1">
      <c r="A239" s="60"/>
      <c r="B239" s="60"/>
      <c r="D239" s="61"/>
      <c r="F239" s="2"/>
      <c r="G239" s="2"/>
      <c r="H239" s="2"/>
      <c r="L239" s="62"/>
    </row>
    <row r="240" spans="1:12" ht="14.25" customHeight="1">
      <c r="A240" s="60"/>
      <c r="B240" s="60"/>
      <c r="D240" s="61"/>
      <c r="F240" s="2"/>
      <c r="G240" s="2"/>
      <c r="H240" s="2"/>
      <c r="L240" s="62"/>
    </row>
    <row r="241" spans="1:12" ht="14.25" customHeight="1">
      <c r="A241" s="60"/>
      <c r="B241" s="60"/>
      <c r="D241" s="61"/>
      <c r="F241" s="2"/>
      <c r="G241" s="2"/>
      <c r="H241" s="2"/>
      <c r="L241" s="62"/>
    </row>
    <row r="242" spans="1:12" ht="15.75" customHeight="1">
      <c r="D242" s="61"/>
      <c r="F242" s="2"/>
      <c r="G242" s="2"/>
      <c r="H242" s="2"/>
      <c r="L242" s="62"/>
    </row>
    <row r="243" spans="1:12" ht="15.75" customHeight="1">
      <c r="D243" s="61"/>
      <c r="F243" s="2"/>
      <c r="G243" s="2"/>
      <c r="H243" s="2"/>
      <c r="L243" s="62"/>
    </row>
    <row r="244" spans="1:12" ht="15.75" customHeight="1">
      <c r="D244" s="61"/>
      <c r="F244" s="2"/>
      <c r="G244" s="2"/>
      <c r="H244" s="2"/>
      <c r="L244" s="62"/>
    </row>
    <row r="245" spans="1:12" ht="15.75" customHeight="1">
      <c r="D245" s="61"/>
      <c r="F245" s="2"/>
      <c r="G245" s="2"/>
      <c r="H245" s="2"/>
      <c r="L245" s="62"/>
    </row>
    <row r="246" spans="1:12" ht="15.75" customHeight="1">
      <c r="D246" s="61"/>
      <c r="F246" s="2"/>
      <c r="G246" s="2"/>
      <c r="H246" s="2"/>
      <c r="L246" s="62"/>
    </row>
    <row r="247" spans="1:12" ht="15.75" customHeight="1">
      <c r="D247" s="61"/>
      <c r="F247" s="2"/>
      <c r="G247" s="2"/>
      <c r="H247" s="2"/>
      <c r="L247" s="62"/>
    </row>
    <row r="248" spans="1:12" ht="15.75" customHeight="1">
      <c r="D248" s="61"/>
      <c r="F248" s="2"/>
      <c r="G248" s="2"/>
      <c r="H248" s="2"/>
      <c r="L248" s="62"/>
    </row>
    <row r="249" spans="1:12" ht="15.75" customHeight="1">
      <c r="D249" s="61"/>
      <c r="F249" s="2"/>
      <c r="G249" s="2"/>
      <c r="H249" s="2"/>
      <c r="L249" s="62"/>
    </row>
    <row r="250" spans="1:12" ht="15.75" customHeight="1">
      <c r="D250" s="61"/>
      <c r="F250" s="2"/>
      <c r="G250" s="2"/>
      <c r="H250" s="2"/>
      <c r="L250" s="62"/>
    </row>
    <row r="251" spans="1:12" ht="15.75" customHeight="1">
      <c r="D251" s="61"/>
      <c r="F251" s="2"/>
      <c r="G251" s="2"/>
      <c r="H251" s="2"/>
      <c r="L251" s="62"/>
    </row>
    <row r="252" spans="1:12" ht="15.75" customHeight="1">
      <c r="D252" s="61"/>
      <c r="F252" s="2"/>
      <c r="G252" s="2"/>
      <c r="H252" s="2"/>
      <c r="L252" s="62"/>
    </row>
    <row r="253" spans="1:12" ht="15.75" customHeight="1">
      <c r="D253" s="61"/>
      <c r="F253" s="2"/>
      <c r="G253" s="2"/>
      <c r="H253" s="2"/>
      <c r="L253" s="62"/>
    </row>
    <row r="254" spans="1:12" ht="15.75" customHeight="1">
      <c r="D254" s="61"/>
      <c r="F254" s="2"/>
      <c r="G254" s="2"/>
      <c r="H254" s="2"/>
      <c r="L254" s="62"/>
    </row>
    <row r="255" spans="1:12" ht="15.75" customHeight="1">
      <c r="D255" s="61"/>
      <c r="F255" s="2"/>
      <c r="G255" s="2"/>
      <c r="H255" s="2"/>
      <c r="L255" s="62"/>
    </row>
    <row r="256" spans="1:12" ht="15.75" customHeight="1">
      <c r="D256" s="61"/>
      <c r="F256" s="2"/>
      <c r="G256" s="2"/>
      <c r="H256" s="2"/>
      <c r="L256" s="62"/>
    </row>
    <row r="257" spans="4:12" ht="15.75" customHeight="1">
      <c r="D257" s="61"/>
      <c r="F257" s="2"/>
      <c r="G257" s="2"/>
      <c r="H257" s="2"/>
      <c r="L257" s="62"/>
    </row>
    <row r="258" spans="4:12" ht="15.75" customHeight="1">
      <c r="D258" s="61"/>
      <c r="F258" s="2"/>
      <c r="G258" s="2"/>
      <c r="H258" s="2"/>
      <c r="L258" s="62"/>
    </row>
    <row r="259" spans="4:12" ht="15.75" customHeight="1">
      <c r="D259" s="61"/>
      <c r="F259" s="2"/>
      <c r="G259" s="2"/>
      <c r="H259" s="2"/>
      <c r="L259" s="62"/>
    </row>
    <row r="260" spans="4:12" ht="15.75" customHeight="1">
      <c r="D260" s="61"/>
      <c r="F260" s="2"/>
      <c r="G260" s="2"/>
      <c r="H260" s="2"/>
      <c r="L260" s="62"/>
    </row>
    <row r="261" spans="4:12" ht="15.75" customHeight="1">
      <c r="D261" s="61"/>
      <c r="F261" s="2"/>
      <c r="G261" s="2"/>
      <c r="H261" s="2"/>
      <c r="L261" s="62"/>
    </row>
    <row r="262" spans="4:12" ht="15.75" customHeight="1">
      <c r="D262" s="61"/>
      <c r="F262" s="2"/>
      <c r="G262" s="2"/>
      <c r="H262" s="2"/>
      <c r="L262" s="62"/>
    </row>
    <row r="263" spans="4:12" ht="15.75" customHeight="1">
      <c r="D263" s="61"/>
      <c r="F263" s="2"/>
      <c r="G263" s="2"/>
      <c r="H263" s="2"/>
      <c r="L263" s="62"/>
    </row>
    <row r="264" spans="4:12" ht="15.75" customHeight="1">
      <c r="D264" s="61"/>
      <c r="F264" s="2"/>
      <c r="G264" s="2"/>
      <c r="H264" s="2"/>
      <c r="L264" s="62"/>
    </row>
    <row r="265" spans="4:12" ht="15.75" customHeight="1">
      <c r="D265" s="61"/>
      <c r="F265" s="2"/>
      <c r="G265" s="2"/>
      <c r="H265" s="2"/>
      <c r="L265" s="62"/>
    </row>
    <row r="266" spans="4:12" ht="15.75" customHeight="1">
      <c r="D266" s="61"/>
      <c r="F266" s="2"/>
      <c r="G266" s="2"/>
      <c r="H266" s="2"/>
      <c r="L266" s="62"/>
    </row>
    <row r="267" spans="4:12" ht="15.75" customHeight="1">
      <c r="D267" s="61"/>
      <c r="F267" s="2"/>
      <c r="G267" s="2"/>
      <c r="H267" s="2"/>
      <c r="L267" s="62"/>
    </row>
    <row r="268" spans="4:12" ht="15.75" customHeight="1">
      <c r="D268" s="61"/>
      <c r="F268" s="2"/>
      <c r="G268" s="2"/>
      <c r="H268" s="2"/>
      <c r="L268" s="62"/>
    </row>
    <row r="269" spans="4:12" ht="15.75" customHeight="1">
      <c r="D269" s="61"/>
      <c r="F269" s="2"/>
      <c r="G269" s="2"/>
      <c r="H269" s="2"/>
      <c r="L269" s="62"/>
    </row>
    <row r="270" spans="4:12" ht="15.75" customHeight="1">
      <c r="D270" s="61"/>
      <c r="F270" s="2"/>
      <c r="G270" s="2"/>
      <c r="H270" s="2"/>
      <c r="L270" s="62"/>
    </row>
    <row r="271" spans="4:12" ht="15.75" customHeight="1">
      <c r="D271" s="61"/>
      <c r="F271" s="2"/>
      <c r="G271" s="2"/>
      <c r="H271" s="2"/>
      <c r="L271" s="62"/>
    </row>
    <row r="272" spans="4:12" ht="15.75" customHeight="1">
      <c r="D272" s="61"/>
      <c r="F272" s="2"/>
      <c r="G272" s="2"/>
      <c r="H272" s="2"/>
      <c r="L272" s="62"/>
    </row>
    <row r="273" spans="4:12" ht="15.75" customHeight="1">
      <c r="D273" s="61"/>
      <c r="F273" s="2"/>
      <c r="G273" s="2"/>
      <c r="H273" s="2"/>
      <c r="L273" s="62"/>
    </row>
    <row r="274" spans="4:12" ht="15.75" customHeight="1">
      <c r="D274" s="61"/>
      <c r="F274" s="2"/>
      <c r="G274" s="2"/>
      <c r="H274" s="2"/>
      <c r="L274" s="62"/>
    </row>
    <row r="275" spans="4:12" ht="15.75" customHeight="1">
      <c r="D275" s="61"/>
      <c r="F275" s="2"/>
      <c r="G275" s="2"/>
      <c r="H275" s="2"/>
      <c r="L275" s="62"/>
    </row>
    <row r="276" spans="4:12" ht="15.75" customHeight="1">
      <c r="D276" s="61"/>
      <c r="F276" s="2"/>
      <c r="G276" s="2"/>
      <c r="H276" s="2"/>
      <c r="L276" s="62"/>
    </row>
    <row r="277" spans="4:12" ht="15.75" customHeight="1">
      <c r="D277" s="61"/>
      <c r="F277" s="2"/>
      <c r="G277" s="2"/>
      <c r="H277" s="2"/>
      <c r="L277" s="62"/>
    </row>
    <row r="278" spans="4:12" ht="15.75" customHeight="1">
      <c r="D278" s="61"/>
      <c r="F278" s="2"/>
      <c r="G278" s="2"/>
      <c r="H278" s="2"/>
      <c r="L278" s="62"/>
    </row>
    <row r="279" spans="4:12" ht="15.75" customHeight="1">
      <c r="D279" s="61"/>
      <c r="F279" s="2"/>
      <c r="G279" s="2"/>
      <c r="H279" s="2"/>
      <c r="L279" s="62"/>
    </row>
    <row r="280" spans="4:12" ht="15.75" customHeight="1">
      <c r="D280" s="61"/>
      <c r="F280" s="2"/>
      <c r="G280" s="2"/>
      <c r="H280" s="2"/>
      <c r="L280" s="62"/>
    </row>
    <row r="281" spans="4:12" ht="15.75" customHeight="1">
      <c r="D281" s="61"/>
      <c r="F281" s="2"/>
      <c r="G281" s="2"/>
      <c r="H281" s="2"/>
      <c r="L281" s="62"/>
    </row>
    <row r="282" spans="4:12" ht="15.75" customHeight="1">
      <c r="D282" s="61"/>
      <c r="F282" s="2"/>
      <c r="G282" s="2"/>
      <c r="H282" s="2"/>
      <c r="L282" s="62"/>
    </row>
    <row r="283" spans="4:12" ht="15.75" customHeight="1">
      <c r="D283" s="61"/>
      <c r="F283" s="2"/>
      <c r="G283" s="2"/>
      <c r="H283" s="2"/>
      <c r="L283" s="62"/>
    </row>
    <row r="284" spans="4:12" ht="15.75" customHeight="1">
      <c r="D284" s="61"/>
      <c r="F284" s="2"/>
      <c r="G284" s="2"/>
      <c r="H284" s="2"/>
      <c r="L284" s="62"/>
    </row>
    <row r="285" spans="4:12" ht="15.75" customHeight="1">
      <c r="D285" s="61"/>
      <c r="F285" s="2"/>
      <c r="G285" s="2"/>
      <c r="H285" s="2"/>
      <c r="L285" s="62"/>
    </row>
    <row r="286" spans="4:12" ht="15.75" customHeight="1">
      <c r="D286" s="61"/>
      <c r="F286" s="2"/>
      <c r="G286" s="2"/>
      <c r="H286" s="2"/>
      <c r="L286" s="62"/>
    </row>
    <row r="287" spans="4:12" ht="15.75" customHeight="1">
      <c r="D287" s="61"/>
      <c r="F287" s="2"/>
      <c r="G287" s="2"/>
      <c r="H287" s="2"/>
      <c r="L287" s="62"/>
    </row>
    <row r="288" spans="4:12" ht="15.75" customHeight="1">
      <c r="D288" s="61"/>
      <c r="F288" s="2"/>
      <c r="G288" s="2"/>
      <c r="H288" s="2"/>
      <c r="L288" s="62"/>
    </row>
    <row r="289" spans="4:12" ht="15.75" customHeight="1">
      <c r="D289" s="61"/>
      <c r="F289" s="2"/>
      <c r="G289" s="2"/>
      <c r="H289" s="2"/>
      <c r="L289" s="62"/>
    </row>
    <row r="290" spans="4:12" ht="15.75" customHeight="1">
      <c r="D290" s="61"/>
      <c r="F290" s="2"/>
      <c r="G290" s="2"/>
      <c r="H290" s="2"/>
      <c r="L290" s="62"/>
    </row>
    <row r="291" spans="4:12" ht="15.75" customHeight="1">
      <c r="D291" s="61"/>
      <c r="F291" s="2"/>
      <c r="G291" s="2"/>
      <c r="H291" s="2"/>
      <c r="L291" s="62"/>
    </row>
    <row r="292" spans="4:12" ht="15.75" customHeight="1">
      <c r="D292" s="61"/>
      <c r="F292" s="2"/>
      <c r="G292" s="2"/>
      <c r="H292" s="2"/>
      <c r="L292" s="62"/>
    </row>
    <row r="293" spans="4:12" ht="15.75" customHeight="1">
      <c r="D293" s="61"/>
      <c r="F293" s="2"/>
      <c r="G293" s="2"/>
      <c r="H293" s="2"/>
      <c r="L293" s="62"/>
    </row>
    <row r="294" spans="4:12" ht="15.75" customHeight="1">
      <c r="D294" s="61"/>
      <c r="F294" s="2"/>
      <c r="G294" s="2"/>
      <c r="H294" s="2"/>
      <c r="L294" s="62"/>
    </row>
    <row r="295" spans="4:12" ht="15.75" customHeight="1">
      <c r="D295" s="61"/>
      <c r="F295" s="2"/>
      <c r="G295" s="2"/>
      <c r="H295" s="2"/>
      <c r="L295" s="62"/>
    </row>
    <row r="296" spans="4:12" ht="15.75" customHeight="1">
      <c r="D296" s="61"/>
      <c r="F296" s="2"/>
      <c r="G296" s="2"/>
      <c r="H296" s="2"/>
      <c r="L296" s="62"/>
    </row>
    <row r="297" spans="4:12" ht="15.75" customHeight="1">
      <c r="D297" s="61"/>
      <c r="F297" s="2"/>
      <c r="G297" s="2"/>
      <c r="H297" s="2"/>
      <c r="L297" s="62"/>
    </row>
    <row r="298" spans="4:12" ht="15.75" customHeight="1">
      <c r="D298" s="61"/>
      <c r="F298" s="2"/>
      <c r="G298" s="2"/>
      <c r="H298" s="2"/>
      <c r="L298" s="62"/>
    </row>
    <row r="299" spans="4:12" ht="15.75" customHeight="1">
      <c r="D299" s="61"/>
      <c r="F299" s="2"/>
      <c r="G299" s="2"/>
      <c r="H299" s="2"/>
      <c r="L299" s="62"/>
    </row>
    <row r="300" spans="4:12" ht="15.75" customHeight="1">
      <c r="D300" s="61"/>
      <c r="F300" s="2"/>
      <c r="G300" s="2"/>
      <c r="H300" s="2"/>
      <c r="L300" s="62"/>
    </row>
    <row r="301" spans="4:12" ht="15.75" customHeight="1">
      <c r="D301" s="61"/>
      <c r="F301" s="2"/>
      <c r="G301" s="2"/>
      <c r="H301" s="2"/>
      <c r="L301" s="62"/>
    </row>
    <row r="302" spans="4:12" ht="15.75" customHeight="1">
      <c r="D302" s="61"/>
      <c r="F302" s="2"/>
      <c r="G302" s="2"/>
      <c r="H302" s="2"/>
      <c r="L302" s="62"/>
    </row>
    <row r="303" spans="4:12" ht="15.75" customHeight="1">
      <c r="D303" s="61"/>
      <c r="F303" s="2"/>
      <c r="G303" s="2"/>
      <c r="H303" s="2"/>
      <c r="L303" s="62"/>
    </row>
    <row r="304" spans="4:12" ht="15.75" customHeight="1">
      <c r="D304" s="61"/>
      <c r="F304" s="2"/>
      <c r="G304" s="2"/>
      <c r="H304" s="2"/>
      <c r="L304" s="62"/>
    </row>
    <row r="305" spans="4:12" ht="15.75" customHeight="1">
      <c r="D305" s="61"/>
      <c r="F305" s="2"/>
      <c r="G305" s="2"/>
      <c r="H305" s="2"/>
      <c r="L305" s="62"/>
    </row>
    <row r="306" spans="4:12" ht="15.75" customHeight="1">
      <c r="D306" s="61"/>
      <c r="F306" s="2"/>
      <c r="G306" s="2"/>
      <c r="H306" s="2"/>
      <c r="L306" s="62"/>
    </row>
    <row r="307" spans="4:12" ht="15.75" customHeight="1">
      <c r="D307" s="61"/>
      <c r="F307" s="2"/>
      <c r="G307" s="2"/>
      <c r="H307" s="2"/>
      <c r="L307" s="62"/>
    </row>
    <row r="308" spans="4:12" ht="15.75" customHeight="1">
      <c r="D308" s="61"/>
      <c r="F308" s="2"/>
      <c r="G308" s="2"/>
      <c r="H308" s="2"/>
      <c r="L308" s="62"/>
    </row>
    <row r="309" spans="4:12" ht="15.75" customHeight="1">
      <c r="D309" s="61"/>
      <c r="F309" s="2"/>
      <c r="G309" s="2"/>
      <c r="H309" s="2"/>
      <c r="L309" s="62"/>
    </row>
    <row r="310" spans="4:12" ht="15.75" customHeight="1">
      <c r="D310" s="61"/>
      <c r="F310" s="2"/>
      <c r="G310" s="2"/>
      <c r="H310" s="2"/>
      <c r="L310" s="62"/>
    </row>
    <row r="311" spans="4:12" ht="15.75" customHeight="1">
      <c r="D311" s="61"/>
      <c r="F311" s="2"/>
      <c r="G311" s="2"/>
      <c r="H311" s="2"/>
      <c r="L311" s="62"/>
    </row>
    <row r="312" spans="4:12" ht="15.75" customHeight="1">
      <c r="D312" s="61"/>
      <c r="F312" s="2"/>
      <c r="G312" s="2"/>
      <c r="H312" s="2"/>
      <c r="L312" s="62"/>
    </row>
    <row r="313" spans="4:12" ht="15.75" customHeight="1">
      <c r="D313" s="61"/>
      <c r="F313" s="2"/>
      <c r="G313" s="2"/>
      <c r="H313" s="2"/>
      <c r="L313" s="62"/>
    </row>
    <row r="314" spans="4:12" ht="15.75" customHeight="1">
      <c r="D314" s="61"/>
      <c r="F314" s="2"/>
      <c r="G314" s="2"/>
      <c r="H314" s="2"/>
      <c r="L314" s="62"/>
    </row>
    <row r="315" spans="4:12" ht="15.75" customHeight="1">
      <c r="D315" s="61"/>
      <c r="F315" s="2"/>
      <c r="G315" s="2"/>
      <c r="H315" s="2"/>
      <c r="L315" s="62"/>
    </row>
    <row r="316" spans="4:12" ht="15.75" customHeight="1">
      <c r="D316" s="61"/>
      <c r="F316" s="2"/>
      <c r="G316" s="2"/>
      <c r="H316" s="2"/>
      <c r="L316" s="62"/>
    </row>
    <row r="317" spans="4:12" ht="15.75" customHeight="1">
      <c r="D317" s="61"/>
      <c r="F317" s="2"/>
      <c r="G317" s="2"/>
      <c r="H317" s="2"/>
      <c r="L317" s="62"/>
    </row>
    <row r="318" spans="4:12" ht="15.75" customHeight="1">
      <c r="D318" s="61"/>
      <c r="F318" s="2"/>
      <c r="G318" s="2"/>
      <c r="H318" s="2"/>
      <c r="L318" s="62"/>
    </row>
    <row r="319" spans="4:12" ht="15.75" customHeight="1">
      <c r="D319" s="61"/>
      <c r="F319" s="2"/>
      <c r="G319" s="2"/>
      <c r="H319" s="2"/>
      <c r="L319" s="62"/>
    </row>
    <row r="320" spans="4:12" ht="15.75" customHeight="1">
      <c r="D320" s="61"/>
      <c r="F320" s="2"/>
      <c r="G320" s="2"/>
      <c r="H320" s="2"/>
      <c r="L320" s="62"/>
    </row>
    <row r="321" spans="4:12" ht="15.75" customHeight="1">
      <c r="D321" s="61"/>
      <c r="F321" s="2"/>
      <c r="G321" s="2"/>
      <c r="H321" s="2"/>
      <c r="L321" s="62"/>
    </row>
    <row r="322" spans="4:12" ht="15.75" customHeight="1">
      <c r="D322" s="61"/>
      <c r="F322" s="2"/>
      <c r="G322" s="2"/>
      <c r="H322" s="2"/>
      <c r="L322" s="62"/>
    </row>
    <row r="323" spans="4:12" ht="15.75" customHeight="1">
      <c r="D323" s="61"/>
      <c r="F323" s="2"/>
      <c r="G323" s="2"/>
      <c r="H323" s="2"/>
      <c r="L323" s="62"/>
    </row>
    <row r="324" spans="4:12" ht="15.75" customHeight="1">
      <c r="D324" s="61"/>
      <c r="F324" s="2"/>
      <c r="G324" s="2"/>
      <c r="H324" s="2"/>
      <c r="L324" s="62"/>
    </row>
    <row r="325" spans="4:12" ht="15.75" customHeight="1">
      <c r="D325" s="61"/>
      <c r="F325" s="2"/>
      <c r="G325" s="2"/>
      <c r="H325" s="2"/>
      <c r="L325" s="62"/>
    </row>
    <row r="326" spans="4:12" ht="15.75" customHeight="1">
      <c r="D326" s="61"/>
      <c r="F326" s="2"/>
      <c r="G326" s="2"/>
      <c r="H326" s="2"/>
      <c r="L326" s="62"/>
    </row>
    <row r="327" spans="4:12" ht="15.75" customHeight="1">
      <c r="D327" s="61"/>
      <c r="F327" s="2"/>
      <c r="G327" s="2"/>
      <c r="H327" s="2"/>
      <c r="L327" s="62"/>
    </row>
    <row r="328" spans="4:12" ht="15.75" customHeight="1">
      <c r="D328" s="61"/>
      <c r="F328" s="2"/>
      <c r="G328" s="2"/>
      <c r="H328" s="2"/>
      <c r="L328" s="62"/>
    </row>
    <row r="329" spans="4:12" ht="15.75" customHeight="1">
      <c r="D329" s="61"/>
      <c r="F329" s="2"/>
      <c r="G329" s="2"/>
      <c r="H329" s="2"/>
      <c r="L329" s="62"/>
    </row>
    <row r="330" spans="4:12" ht="15.75" customHeight="1">
      <c r="D330" s="61"/>
      <c r="F330" s="2"/>
      <c r="G330" s="2"/>
      <c r="H330" s="2"/>
      <c r="L330" s="62"/>
    </row>
    <row r="331" spans="4:12" ht="15.75" customHeight="1">
      <c r="D331" s="61"/>
      <c r="F331" s="2"/>
      <c r="G331" s="2"/>
      <c r="H331" s="2"/>
      <c r="L331" s="62"/>
    </row>
    <row r="332" spans="4:12" ht="15.75" customHeight="1">
      <c r="D332" s="61"/>
      <c r="F332" s="2"/>
      <c r="G332" s="2"/>
      <c r="H332" s="2"/>
      <c r="L332" s="62"/>
    </row>
    <row r="333" spans="4:12" ht="15.75" customHeight="1">
      <c r="D333" s="61"/>
      <c r="F333" s="2"/>
      <c r="G333" s="2"/>
      <c r="H333" s="2"/>
      <c r="L333" s="62"/>
    </row>
    <row r="334" spans="4:12" ht="15.75" customHeight="1">
      <c r="D334" s="61"/>
      <c r="F334" s="2"/>
      <c r="G334" s="2"/>
      <c r="H334" s="2"/>
      <c r="L334" s="62"/>
    </row>
    <row r="335" spans="4:12" ht="15.75" customHeight="1">
      <c r="D335" s="61"/>
      <c r="F335" s="2"/>
      <c r="G335" s="2"/>
      <c r="H335" s="2"/>
      <c r="L335" s="62"/>
    </row>
    <row r="336" spans="4:12" ht="15.75" customHeight="1">
      <c r="D336" s="61"/>
      <c r="F336" s="2"/>
      <c r="G336" s="2"/>
      <c r="H336" s="2"/>
      <c r="L336" s="62"/>
    </row>
    <row r="337" spans="4:12" ht="15.75" customHeight="1">
      <c r="D337" s="61"/>
      <c r="F337" s="2"/>
      <c r="G337" s="2"/>
      <c r="H337" s="2"/>
      <c r="L337" s="62"/>
    </row>
    <row r="338" spans="4:12" ht="15.75" customHeight="1">
      <c r="D338" s="61"/>
      <c r="F338" s="2"/>
      <c r="G338" s="2"/>
      <c r="H338" s="2"/>
      <c r="L338" s="62"/>
    </row>
    <row r="339" spans="4:12" ht="15.75" customHeight="1">
      <c r="D339" s="61"/>
      <c r="F339" s="2"/>
      <c r="G339" s="2"/>
      <c r="H339" s="2"/>
      <c r="L339" s="62"/>
    </row>
    <row r="340" spans="4:12" ht="15.75" customHeight="1">
      <c r="D340" s="61"/>
      <c r="F340" s="2"/>
      <c r="G340" s="2"/>
      <c r="H340" s="2"/>
      <c r="L340" s="62"/>
    </row>
    <row r="341" spans="4:12" ht="15.75" customHeight="1">
      <c r="D341" s="61"/>
      <c r="F341" s="2"/>
      <c r="G341" s="2"/>
      <c r="H341" s="2"/>
      <c r="L341" s="62"/>
    </row>
    <row r="342" spans="4:12" ht="15.75" customHeight="1">
      <c r="D342" s="61"/>
      <c r="F342" s="2"/>
      <c r="G342" s="2"/>
      <c r="H342" s="2"/>
      <c r="L342" s="62"/>
    </row>
    <row r="343" spans="4:12" ht="15.75" customHeight="1">
      <c r="D343" s="61"/>
      <c r="F343" s="2"/>
      <c r="G343" s="2"/>
      <c r="H343" s="2"/>
      <c r="L343" s="62"/>
    </row>
    <row r="344" spans="4:12" ht="15.75" customHeight="1">
      <c r="D344" s="61"/>
      <c r="F344" s="2"/>
      <c r="G344" s="2"/>
      <c r="H344" s="2"/>
      <c r="L344" s="62"/>
    </row>
    <row r="345" spans="4:12" ht="15.75" customHeight="1">
      <c r="D345" s="61"/>
      <c r="F345" s="2"/>
      <c r="G345" s="2"/>
      <c r="H345" s="2"/>
      <c r="L345" s="62"/>
    </row>
    <row r="346" spans="4:12" ht="15.75" customHeight="1">
      <c r="D346" s="61"/>
      <c r="F346" s="2"/>
      <c r="G346" s="2"/>
      <c r="H346" s="2"/>
      <c r="L346" s="62"/>
    </row>
    <row r="347" spans="4:12" ht="15.75" customHeight="1">
      <c r="D347" s="61"/>
      <c r="F347" s="2"/>
      <c r="G347" s="2"/>
      <c r="H347" s="2"/>
      <c r="L347" s="62"/>
    </row>
    <row r="348" spans="4:12" ht="15.75" customHeight="1">
      <c r="D348" s="61"/>
      <c r="F348" s="2"/>
      <c r="G348" s="2"/>
      <c r="H348" s="2"/>
      <c r="L348" s="62"/>
    </row>
    <row r="349" spans="4:12" ht="15.75" customHeight="1">
      <c r="D349" s="61"/>
      <c r="F349" s="2"/>
      <c r="G349" s="2"/>
      <c r="H349" s="2"/>
      <c r="L349" s="62"/>
    </row>
    <row r="350" spans="4:12" ht="15.75" customHeight="1">
      <c r="D350" s="61"/>
      <c r="F350" s="2"/>
      <c r="G350" s="2"/>
      <c r="H350" s="2"/>
      <c r="L350" s="62"/>
    </row>
    <row r="351" spans="4:12" ht="15.75" customHeight="1">
      <c r="D351" s="61"/>
      <c r="F351" s="2"/>
      <c r="G351" s="2"/>
      <c r="H351" s="2"/>
      <c r="L351" s="62"/>
    </row>
    <row r="352" spans="4:12" ht="15.75" customHeight="1">
      <c r="D352" s="61"/>
      <c r="F352" s="2"/>
      <c r="G352" s="2"/>
      <c r="H352" s="2"/>
      <c r="L352" s="62"/>
    </row>
    <row r="353" spans="4:12" ht="15.75" customHeight="1">
      <c r="D353" s="61"/>
      <c r="F353" s="2"/>
      <c r="G353" s="2"/>
      <c r="H353" s="2"/>
      <c r="L353" s="62"/>
    </row>
    <row r="354" spans="4:12" ht="15.75" customHeight="1">
      <c r="D354" s="61"/>
      <c r="F354" s="2"/>
      <c r="G354" s="2"/>
      <c r="H354" s="2"/>
      <c r="L354" s="62"/>
    </row>
    <row r="355" spans="4:12" ht="15.75" customHeight="1">
      <c r="D355" s="61"/>
      <c r="F355" s="2"/>
      <c r="G355" s="2"/>
      <c r="H355" s="2"/>
      <c r="L355" s="62"/>
    </row>
    <row r="356" spans="4:12" ht="15.75" customHeight="1">
      <c r="D356" s="61"/>
      <c r="F356" s="2"/>
      <c r="G356" s="2"/>
      <c r="H356" s="2"/>
      <c r="L356" s="62"/>
    </row>
    <row r="357" spans="4:12" ht="15.75" customHeight="1">
      <c r="D357" s="61"/>
      <c r="F357" s="2"/>
      <c r="G357" s="2"/>
      <c r="H357" s="2"/>
      <c r="L357" s="62"/>
    </row>
    <row r="358" spans="4:12" ht="15.75" customHeight="1">
      <c r="D358" s="61"/>
      <c r="F358" s="2"/>
      <c r="G358" s="2"/>
      <c r="H358" s="2"/>
      <c r="L358" s="62"/>
    </row>
    <row r="359" spans="4:12" ht="15.75" customHeight="1">
      <c r="D359" s="61"/>
      <c r="F359" s="2"/>
      <c r="G359" s="2"/>
      <c r="H359" s="2"/>
      <c r="L359" s="62"/>
    </row>
    <row r="360" spans="4:12" ht="15.75" customHeight="1">
      <c r="D360" s="61"/>
      <c r="F360" s="2"/>
      <c r="G360" s="2"/>
      <c r="H360" s="2"/>
      <c r="L360" s="62"/>
    </row>
    <row r="361" spans="4:12" ht="15.75" customHeight="1">
      <c r="D361" s="61"/>
      <c r="F361" s="2"/>
      <c r="G361" s="2"/>
      <c r="H361" s="2"/>
      <c r="L361" s="62"/>
    </row>
    <row r="362" spans="4:12" ht="15.75" customHeight="1">
      <c r="D362" s="61"/>
      <c r="F362" s="2"/>
      <c r="G362" s="2"/>
      <c r="H362" s="2"/>
      <c r="L362" s="62"/>
    </row>
    <row r="363" spans="4:12" ht="15.75" customHeight="1">
      <c r="D363" s="61"/>
      <c r="F363" s="2"/>
      <c r="G363" s="2"/>
      <c r="H363" s="2"/>
      <c r="L363" s="62"/>
    </row>
    <row r="364" spans="4:12" ht="15.75" customHeight="1">
      <c r="D364" s="61"/>
      <c r="F364" s="2"/>
      <c r="G364" s="2"/>
      <c r="H364" s="2"/>
      <c r="L364" s="62"/>
    </row>
    <row r="365" spans="4:12" ht="15.75" customHeight="1">
      <c r="D365" s="61"/>
      <c r="F365" s="2"/>
      <c r="G365" s="2"/>
      <c r="H365" s="2"/>
      <c r="L365" s="62"/>
    </row>
    <row r="366" spans="4:12" ht="15.75" customHeight="1">
      <c r="D366" s="61"/>
      <c r="F366" s="2"/>
      <c r="G366" s="2"/>
      <c r="H366" s="2"/>
      <c r="L366" s="62"/>
    </row>
    <row r="367" spans="4:12" ht="15.75" customHeight="1">
      <c r="D367" s="61"/>
      <c r="F367" s="2"/>
      <c r="G367" s="2"/>
      <c r="H367" s="2"/>
      <c r="L367" s="62"/>
    </row>
    <row r="368" spans="4:12" ht="15.75" customHeight="1">
      <c r="D368" s="61"/>
      <c r="F368" s="2"/>
      <c r="G368" s="2"/>
      <c r="H368" s="2"/>
      <c r="L368" s="62"/>
    </row>
    <row r="369" spans="4:12" ht="15.75" customHeight="1">
      <c r="D369" s="61"/>
      <c r="F369" s="2"/>
      <c r="G369" s="2"/>
      <c r="H369" s="2"/>
      <c r="L369" s="62"/>
    </row>
    <row r="370" spans="4:12" ht="15.75" customHeight="1">
      <c r="D370" s="61"/>
      <c r="F370" s="2"/>
      <c r="G370" s="2"/>
      <c r="H370" s="2"/>
      <c r="L370" s="62"/>
    </row>
    <row r="371" spans="4:12" ht="15.75" customHeight="1">
      <c r="D371" s="61"/>
      <c r="F371" s="2"/>
      <c r="G371" s="2"/>
      <c r="H371" s="2"/>
      <c r="L371" s="62"/>
    </row>
    <row r="372" spans="4:12" ht="15.75" customHeight="1">
      <c r="D372" s="61"/>
      <c r="F372" s="2"/>
      <c r="G372" s="2"/>
      <c r="H372" s="2"/>
      <c r="L372" s="62"/>
    </row>
    <row r="373" spans="4:12" ht="15.75" customHeight="1">
      <c r="D373" s="61"/>
      <c r="F373" s="2"/>
      <c r="G373" s="2"/>
      <c r="H373" s="2"/>
      <c r="L373" s="62"/>
    </row>
    <row r="374" spans="4:12" ht="15.75" customHeight="1">
      <c r="D374" s="61"/>
      <c r="F374" s="2"/>
      <c r="G374" s="2"/>
      <c r="H374" s="2"/>
      <c r="L374" s="62"/>
    </row>
    <row r="375" spans="4:12" ht="15.75" customHeight="1">
      <c r="D375" s="61"/>
      <c r="F375" s="2"/>
      <c r="G375" s="2"/>
      <c r="H375" s="2"/>
      <c r="L375" s="62"/>
    </row>
    <row r="376" spans="4:12" ht="15.75" customHeight="1">
      <c r="D376" s="61"/>
      <c r="F376" s="2"/>
      <c r="G376" s="2"/>
      <c r="H376" s="2"/>
      <c r="L376" s="62"/>
    </row>
    <row r="377" spans="4:12" ht="15.75" customHeight="1">
      <c r="D377" s="61"/>
      <c r="F377" s="2"/>
      <c r="G377" s="2"/>
      <c r="H377" s="2"/>
      <c r="L377" s="62"/>
    </row>
    <row r="378" spans="4:12" ht="15.75" customHeight="1">
      <c r="D378" s="61"/>
      <c r="F378" s="2"/>
      <c r="G378" s="2"/>
      <c r="H378" s="2"/>
      <c r="L378" s="62"/>
    </row>
    <row r="379" spans="4:12" ht="15.75" customHeight="1">
      <c r="D379" s="61"/>
      <c r="F379" s="2"/>
      <c r="G379" s="2"/>
      <c r="H379" s="2"/>
      <c r="L379" s="62"/>
    </row>
    <row r="380" spans="4:12" ht="15.75" customHeight="1">
      <c r="D380" s="61"/>
      <c r="F380" s="2"/>
      <c r="G380" s="2"/>
      <c r="H380" s="2"/>
      <c r="L380" s="62"/>
    </row>
    <row r="381" spans="4:12" ht="15.75" customHeight="1">
      <c r="D381" s="61"/>
      <c r="F381" s="2"/>
      <c r="G381" s="2"/>
      <c r="H381" s="2"/>
      <c r="L381" s="62"/>
    </row>
    <row r="382" spans="4:12" ht="15.75" customHeight="1">
      <c r="D382" s="61"/>
      <c r="F382" s="2"/>
      <c r="G382" s="2"/>
      <c r="H382" s="2"/>
      <c r="L382" s="62"/>
    </row>
    <row r="383" spans="4:12" ht="15.75" customHeight="1">
      <c r="D383" s="61"/>
      <c r="F383" s="2"/>
      <c r="G383" s="2"/>
      <c r="H383" s="2"/>
      <c r="L383" s="62"/>
    </row>
    <row r="384" spans="4:12" ht="15.75" customHeight="1">
      <c r="D384" s="61"/>
      <c r="F384" s="2"/>
      <c r="G384" s="2"/>
      <c r="H384" s="2"/>
      <c r="L384" s="62"/>
    </row>
    <row r="385" spans="4:12" ht="15.75" customHeight="1">
      <c r="D385" s="61"/>
      <c r="F385" s="2"/>
      <c r="G385" s="2"/>
      <c r="H385" s="2"/>
      <c r="L385" s="62"/>
    </row>
    <row r="386" spans="4:12" ht="15.75" customHeight="1">
      <c r="D386" s="61"/>
      <c r="F386" s="2"/>
      <c r="G386" s="2"/>
      <c r="H386" s="2"/>
      <c r="L386" s="62"/>
    </row>
    <row r="387" spans="4:12" ht="15.75" customHeight="1">
      <c r="D387" s="61"/>
      <c r="F387" s="2"/>
      <c r="G387" s="2"/>
      <c r="H387" s="2"/>
      <c r="L387" s="62"/>
    </row>
    <row r="388" spans="4:12" ht="15.75" customHeight="1">
      <c r="D388" s="61"/>
      <c r="F388" s="2"/>
      <c r="G388" s="2"/>
      <c r="H388" s="2"/>
      <c r="L388" s="62"/>
    </row>
    <row r="389" spans="4:12" ht="15.75" customHeight="1">
      <c r="D389" s="61"/>
      <c r="F389" s="2"/>
      <c r="G389" s="2"/>
      <c r="H389" s="2"/>
      <c r="L389" s="62"/>
    </row>
    <row r="390" spans="4:12" ht="15.75" customHeight="1">
      <c r="D390" s="61"/>
      <c r="F390" s="2"/>
      <c r="G390" s="2"/>
      <c r="H390" s="2"/>
      <c r="L390" s="62"/>
    </row>
    <row r="391" spans="4:12" ht="15.75" customHeight="1">
      <c r="D391" s="61"/>
      <c r="F391" s="2"/>
      <c r="G391" s="2"/>
      <c r="H391" s="2"/>
      <c r="L391" s="62"/>
    </row>
    <row r="392" spans="4:12" ht="15.75" customHeight="1">
      <c r="D392" s="61"/>
      <c r="F392" s="2"/>
      <c r="G392" s="2"/>
      <c r="H392" s="2"/>
      <c r="L392" s="62"/>
    </row>
    <row r="393" spans="4:12" ht="15.75" customHeight="1">
      <c r="D393" s="61"/>
      <c r="F393" s="2"/>
      <c r="G393" s="2"/>
      <c r="H393" s="2"/>
      <c r="L393" s="62"/>
    </row>
    <row r="394" spans="4:12" ht="15.75" customHeight="1">
      <c r="D394" s="61"/>
      <c r="F394" s="2"/>
      <c r="G394" s="2"/>
      <c r="H394" s="2"/>
      <c r="L394" s="62"/>
    </row>
    <row r="395" spans="4:12" ht="15.75" customHeight="1">
      <c r="D395" s="61"/>
      <c r="F395" s="2"/>
      <c r="G395" s="2"/>
      <c r="H395" s="2"/>
      <c r="L395" s="62"/>
    </row>
    <row r="396" spans="4:12" ht="15.75" customHeight="1">
      <c r="D396" s="61"/>
      <c r="F396" s="2"/>
      <c r="G396" s="2"/>
      <c r="H396" s="2"/>
      <c r="L396" s="62"/>
    </row>
    <row r="397" spans="4:12" ht="15.75" customHeight="1">
      <c r="D397" s="61"/>
      <c r="F397" s="2"/>
      <c r="G397" s="2"/>
      <c r="H397" s="2"/>
      <c r="L397" s="62"/>
    </row>
    <row r="398" spans="4:12" ht="15.75" customHeight="1">
      <c r="D398" s="61"/>
      <c r="F398" s="2"/>
      <c r="G398" s="2"/>
      <c r="H398" s="2"/>
      <c r="L398" s="62"/>
    </row>
    <row r="399" spans="4:12" ht="15.75" customHeight="1">
      <c r="D399" s="61"/>
      <c r="F399" s="2"/>
      <c r="G399" s="2"/>
      <c r="H399" s="2"/>
      <c r="L399" s="62"/>
    </row>
    <row r="400" spans="4:12" ht="15.75" customHeight="1">
      <c r="D400" s="61"/>
      <c r="F400" s="2"/>
      <c r="G400" s="2"/>
      <c r="H400" s="2"/>
      <c r="L400" s="62"/>
    </row>
    <row r="401" spans="4:12" ht="15.75" customHeight="1">
      <c r="D401" s="61"/>
      <c r="F401" s="2"/>
      <c r="G401" s="2"/>
      <c r="H401" s="2"/>
      <c r="L401" s="62"/>
    </row>
    <row r="402" spans="4:12" ht="15.75" customHeight="1">
      <c r="D402" s="61"/>
      <c r="F402" s="2"/>
      <c r="G402" s="2"/>
      <c r="H402" s="2"/>
      <c r="L402" s="62"/>
    </row>
    <row r="403" spans="4:12" ht="15.75" customHeight="1">
      <c r="D403" s="61"/>
      <c r="F403" s="2"/>
      <c r="G403" s="2"/>
      <c r="H403" s="2"/>
      <c r="L403" s="62"/>
    </row>
    <row r="404" spans="4:12" ht="15.75" customHeight="1">
      <c r="D404" s="61"/>
      <c r="F404" s="2"/>
      <c r="G404" s="2"/>
      <c r="H404" s="2"/>
      <c r="L404" s="62"/>
    </row>
    <row r="405" spans="4:12" ht="15.75" customHeight="1">
      <c r="D405" s="61"/>
      <c r="F405" s="2"/>
      <c r="G405" s="2"/>
      <c r="H405" s="2"/>
      <c r="L405" s="62"/>
    </row>
    <row r="406" spans="4:12" ht="15.75" customHeight="1">
      <c r="D406" s="61"/>
      <c r="F406" s="2"/>
      <c r="G406" s="2"/>
      <c r="H406" s="2"/>
      <c r="L406" s="62"/>
    </row>
    <row r="407" spans="4:12" ht="15.75" customHeight="1">
      <c r="D407" s="61"/>
      <c r="F407" s="2"/>
      <c r="G407" s="2"/>
      <c r="H407" s="2"/>
      <c r="L407" s="62"/>
    </row>
    <row r="408" spans="4:12" ht="15.75" customHeight="1">
      <c r="D408" s="61"/>
      <c r="F408" s="2"/>
      <c r="G408" s="2"/>
      <c r="H408" s="2"/>
      <c r="L408" s="62"/>
    </row>
    <row r="409" spans="4:12" ht="15.75" customHeight="1">
      <c r="D409" s="61"/>
      <c r="F409" s="2"/>
      <c r="G409" s="2"/>
      <c r="H409" s="2"/>
      <c r="L409" s="62"/>
    </row>
    <row r="410" spans="4:12" ht="15.75" customHeight="1">
      <c r="D410" s="61"/>
      <c r="F410" s="2"/>
      <c r="G410" s="2"/>
      <c r="H410" s="2"/>
      <c r="L410" s="62"/>
    </row>
    <row r="411" spans="4:12" ht="15.75" customHeight="1">
      <c r="D411" s="61"/>
      <c r="F411" s="2"/>
      <c r="G411" s="2"/>
      <c r="H411" s="2"/>
      <c r="L411" s="62"/>
    </row>
    <row r="412" spans="4:12" ht="15.75" customHeight="1">
      <c r="D412" s="61"/>
      <c r="F412" s="2"/>
      <c r="G412" s="2"/>
      <c r="H412" s="2"/>
      <c r="L412" s="62"/>
    </row>
    <row r="413" spans="4:12" ht="15.75" customHeight="1">
      <c r="D413" s="61"/>
      <c r="F413" s="2"/>
      <c r="G413" s="2"/>
      <c r="H413" s="2"/>
      <c r="L413" s="62"/>
    </row>
    <row r="414" spans="4:12" ht="15.75" customHeight="1">
      <c r="D414" s="61"/>
      <c r="F414" s="2"/>
      <c r="G414" s="2"/>
      <c r="H414" s="2"/>
      <c r="L414" s="62"/>
    </row>
    <row r="415" spans="4:12" ht="15.75" customHeight="1">
      <c r="D415" s="61"/>
      <c r="F415" s="2"/>
      <c r="G415" s="2"/>
      <c r="H415" s="2"/>
      <c r="L415" s="62"/>
    </row>
    <row r="416" spans="4:12" ht="15.75" customHeight="1">
      <c r="D416" s="61"/>
      <c r="F416" s="2"/>
      <c r="G416" s="2"/>
      <c r="H416" s="2"/>
      <c r="L416" s="62"/>
    </row>
    <row r="417" spans="4:12" ht="15.75" customHeight="1">
      <c r="D417" s="61"/>
      <c r="F417" s="2"/>
      <c r="G417" s="2"/>
      <c r="H417" s="2"/>
      <c r="L417" s="62"/>
    </row>
    <row r="418" spans="4:12" ht="15.75" customHeight="1">
      <c r="D418" s="61"/>
      <c r="F418" s="2"/>
      <c r="G418" s="2"/>
      <c r="H418" s="2"/>
      <c r="L418" s="62"/>
    </row>
    <row r="419" spans="4:12" ht="15.75" customHeight="1">
      <c r="D419" s="61"/>
      <c r="F419" s="2"/>
      <c r="G419" s="2"/>
      <c r="H419" s="2"/>
      <c r="L419" s="62"/>
    </row>
    <row r="420" spans="4:12" ht="15.75" customHeight="1">
      <c r="D420" s="61"/>
      <c r="F420" s="2"/>
      <c r="G420" s="2"/>
      <c r="H420" s="2"/>
      <c r="L420" s="62"/>
    </row>
    <row r="421" spans="4:12" ht="15.75" customHeight="1">
      <c r="D421" s="61"/>
      <c r="F421" s="2"/>
      <c r="G421" s="2"/>
      <c r="H421" s="2"/>
      <c r="L421" s="62"/>
    </row>
    <row r="422" spans="4:12" ht="15.75" customHeight="1">
      <c r="D422" s="61"/>
      <c r="F422" s="2"/>
      <c r="G422" s="2"/>
      <c r="H422" s="2"/>
      <c r="L422" s="62"/>
    </row>
    <row r="423" spans="4:12" ht="15.75" customHeight="1">
      <c r="D423" s="61"/>
      <c r="F423" s="2"/>
      <c r="G423" s="2"/>
      <c r="H423" s="2"/>
      <c r="L423" s="62"/>
    </row>
    <row r="424" spans="4:12" ht="15.75" customHeight="1">
      <c r="D424" s="61"/>
      <c r="F424" s="2"/>
      <c r="G424" s="2"/>
      <c r="H424" s="2"/>
      <c r="L424" s="62"/>
    </row>
    <row r="425" spans="4:12" ht="15.75" customHeight="1">
      <c r="D425" s="61"/>
      <c r="F425" s="2"/>
      <c r="G425" s="2"/>
      <c r="H425" s="2"/>
      <c r="L425" s="62"/>
    </row>
    <row r="426" spans="4:12" ht="15.75" customHeight="1">
      <c r="D426" s="61"/>
      <c r="F426" s="2"/>
      <c r="G426" s="2"/>
      <c r="H426" s="2"/>
      <c r="L426" s="62"/>
    </row>
    <row r="427" spans="4:12" ht="15.75" customHeight="1">
      <c r="D427" s="61"/>
      <c r="F427" s="2"/>
      <c r="G427" s="2"/>
      <c r="H427" s="2"/>
      <c r="L427" s="62"/>
    </row>
    <row r="428" spans="4:12" ht="15.75" customHeight="1">
      <c r="D428" s="61"/>
      <c r="F428" s="2"/>
      <c r="G428" s="2"/>
      <c r="H428" s="2"/>
      <c r="L428" s="62"/>
    </row>
    <row r="429" spans="4:12" ht="15.75" customHeight="1">
      <c r="D429" s="61"/>
      <c r="F429" s="2"/>
      <c r="G429" s="2"/>
      <c r="H429" s="2"/>
      <c r="L429" s="62"/>
    </row>
    <row r="430" spans="4:12" ht="15.75" customHeight="1">
      <c r="D430" s="61"/>
      <c r="F430" s="2"/>
      <c r="G430" s="2"/>
      <c r="H430" s="2"/>
      <c r="L430" s="62"/>
    </row>
    <row r="431" spans="4:12" ht="15.75" customHeight="1">
      <c r="D431" s="61"/>
      <c r="F431" s="2"/>
      <c r="G431" s="2"/>
      <c r="H431" s="2"/>
      <c r="L431" s="62"/>
    </row>
    <row r="432" spans="4:12" ht="15.75" customHeight="1">
      <c r="D432" s="61"/>
      <c r="F432" s="2"/>
      <c r="G432" s="2"/>
      <c r="H432" s="2"/>
      <c r="L432" s="62"/>
    </row>
    <row r="433" spans="4:12" ht="15.75" customHeight="1">
      <c r="D433" s="61"/>
      <c r="F433" s="2"/>
      <c r="G433" s="2"/>
      <c r="H433" s="2"/>
      <c r="L433" s="62"/>
    </row>
    <row r="434" spans="4:12" ht="15.75" customHeight="1">
      <c r="D434" s="61"/>
      <c r="F434" s="2"/>
      <c r="G434" s="2"/>
      <c r="H434" s="2"/>
      <c r="L434" s="62"/>
    </row>
    <row r="435" spans="4:12" ht="15.75" customHeight="1">
      <c r="D435" s="61"/>
      <c r="F435" s="2"/>
      <c r="G435" s="2"/>
      <c r="H435" s="2"/>
      <c r="L435" s="62"/>
    </row>
    <row r="436" spans="4:12" ht="15.75" customHeight="1">
      <c r="D436" s="61"/>
      <c r="F436" s="2"/>
      <c r="G436" s="2"/>
      <c r="H436" s="2"/>
      <c r="L436" s="62"/>
    </row>
    <row r="437" spans="4:12" ht="15.75" customHeight="1">
      <c r="D437" s="61"/>
      <c r="F437" s="2"/>
      <c r="G437" s="2"/>
      <c r="H437" s="2"/>
      <c r="L437" s="62"/>
    </row>
    <row r="438" spans="4:12" ht="15.75" customHeight="1">
      <c r="D438" s="61"/>
      <c r="F438" s="2"/>
      <c r="G438" s="2"/>
      <c r="H438" s="2"/>
      <c r="L438" s="62"/>
    </row>
    <row r="439" spans="4:12" ht="15.75" customHeight="1">
      <c r="D439" s="61"/>
      <c r="F439" s="2"/>
      <c r="G439" s="2"/>
      <c r="H439" s="2"/>
      <c r="L439" s="62"/>
    </row>
    <row r="440" spans="4:12" ht="15.75" customHeight="1">
      <c r="D440" s="61"/>
      <c r="F440" s="2"/>
      <c r="G440" s="2"/>
      <c r="H440" s="2"/>
      <c r="L440" s="62"/>
    </row>
    <row r="441" spans="4:12" ht="15.75" customHeight="1">
      <c r="D441" s="61"/>
      <c r="F441" s="2"/>
      <c r="G441" s="2"/>
      <c r="H441" s="2"/>
      <c r="L441" s="62"/>
    </row>
    <row r="442" spans="4:12" ht="15.75" customHeight="1">
      <c r="D442" s="61"/>
      <c r="F442" s="2"/>
      <c r="G442" s="2"/>
      <c r="H442" s="2"/>
      <c r="L442" s="62"/>
    </row>
    <row r="443" spans="4:12" ht="15.75" customHeight="1">
      <c r="D443" s="61"/>
      <c r="F443" s="2"/>
      <c r="G443" s="2"/>
      <c r="H443" s="2"/>
      <c r="L443" s="62"/>
    </row>
    <row r="444" spans="4:12" ht="15.75" customHeight="1">
      <c r="D444" s="61"/>
      <c r="F444" s="2"/>
      <c r="G444" s="2"/>
      <c r="H444" s="2"/>
      <c r="L444" s="62"/>
    </row>
    <row r="445" spans="4:12" ht="15.75" customHeight="1">
      <c r="D445" s="61"/>
      <c r="F445" s="2"/>
      <c r="G445" s="2"/>
      <c r="H445" s="2"/>
      <c r="L445" s="62"/>
    </row>
    <row r="446" spans="4:12" ht="15.75" customHeight="1">
      <c r="D446" s="61"/>
      <c r="F446" s="2"/>
      <c r="G446" s="2"/>
      <c r="H446" s="2"/>
      <c r="L446" s="62"/>
    </row>
    <row r="447" spans="4:12" ht="15.75" customHeight="1">
      <c r="D447" s="61"/>
      <c r="F447" s="2"/>
      <c r="G447" s="2"/>
      <c r="H447" s="2"/>
      <c r="L447" s="62"/>
    </row>
    <row r="448" spans="4:12" ht="15.75" customHeight="1">
      <c r="D448" s="61"/>
      <c r="F448" s="2"/>
      <c r="G448" s="2"/>
      <c r="H448" s="2"/>
      <c r="L448" s="62"/>
    </row>
    <row r="449" spans="4:12" ht="15.75" customHeight="1">
      <c r="D449" s="61"/>
      <c r="F449" s="2"/>
      <c r="G449" s="2"/>
      <c r="H449" s="2"/>
      <c r="L449" s="62"/>
    </row>
    <row r="450" spans="4:12" ht="15.75" customHeight="1">
      <c r="D450" s="61"/>
      <c r="F450" s="2"/>
      <c r="G450" s="2"/>
      <c r="H450" s="2"/>
      <c r="L450" s="62"/>
    </row>
    <row r="451" spans="4:12" ht="15.75" customHeight="1">
      <c r="D451" s="61"/>
      <c r="F451" s="2"/>
      <c r="G451" s="2"/>
      <c r="H451" s="2"/>
      <c r="L451" s="62"/>
    </row>
    <row r="452" spans="4:12" ht="15.75" customHeight="1">
      <c r="D452" s="61"/>
      <c r="F452" s="2"/>
      <c r="G452" s="2"/>
      <c r="H452" s="2"/>
      <c r="L452" s="62"/>
    </row>
    <row r="453" spans="4:12" ht="15.75" customHeight="1">
      <c r="D453" s="61"/>
      <c r="F453" s="2"/>
      <c r="G453" s="2"/>
      <c r="H453" s="2"/>
      <c r="L453" s="62"/>
    </row>
    <row r="454" spans="4:12" ht="15.75" customHeight="1">
      <c r="D454" s="61"/>
      <c r="F454" s="2"/>
      <c r="G454" s="2"/>
      <c r="H454" s="2"/>
      <c r="L454" s="62"/>
    </row>
    <row r="455" spans="4:12" ht="15.75" customHeight="1">
      <c r="D455" s="61"/>
      <c r="F455" s="2"/>
      <c r="G455" s="2"/>
      <c r="H455" s="2"/>
      <c r="L455" s="62"/>
    </row>
    <row r="456" spans="4:12" ht="15.75" customHeight="1">
      <c r="D456" s="61"/>
      <c r="F456" s="2"/>
      <c r="G456" s="2"/>
      <c r="H456" s="2"/>
      <c r="L456" s="62"/>
    </row>
    <row r="457" spans="4:12" ht="15.75" customHeight="1">
      <c r="D457" s="61"/>
      <c r="F457" s="2"/>
      <c r="G457" s="2"/>
      <c r="H457" s="2"/>
      <c r="L457" s="62"/>
    </row>
    <row r="458" spans="4:12" ht="15.75" customHeight="1">
      <c r="D458" s="61"/>
      <c r="F458" s="2"/>
      <c r="G458" s="2"/>
      <c r="H458" s="2"/>
      <c r="L458" s="62"/>
    </row>
    <row r="459" spans="4:12" ht="15.75" customHeight="1">
      <c r="D459" s="61"/>
      <c r="F459" s="2"/>
      <c r="G459" s="2"/>
      <c r="H459" s="2"/>
      <c r="L459" s="62"/>
    </row>
    <row r="460" spans="4:12" ht="15.75" customHeight="1">
      <c r="D460" s="61"/>
      <c r="F460" s="2"/>
      <c r="G460" s="2"/>
      <c r="H460" s="2"/>
      <c r="L460" s="62"/>
    </row>
    <row r="461" spans="4:12" ht="15.75" customHeight="1">
      <c r="D461" s="61"/>
      <c r="F461" s="2"/>
      <c r="G461" s="2"/>
      <c r="H461" s="2"/>
      <c r="L461" s="62"/>
    </row>
    <row r="462" spans="4:12" ht="15.75" customHeight="1">
      <c r="D462" s="61"/>
      <c r="F462" s="2"/>
      <c r="G462" s="2"/>
      <c r="H462" s="2"/>
      <c r="L462" s="62"/>
    </row>
    <row r="463" spans="4:12" ht="15.75" customHeight="1">
      <c r="D463" s="61"/>
      <c r="F463" s="2"/>
      <c r="G463" s="2"/>
      <c r="H463" s="2"/>
      <c r="L463" s="62"/>
    </row>
    <row r="464" spans="4:12" ht="15.75" customHeight="1">
      <c r="D464" s="61"/>
      <c r="F464" s="2"/>
      <c r="G464" s="2"/>
      <c r="H464" s="2"/>
      <c r="L464" s="62"/>
    </row>
    <row r="465" spans="4:12" ht="15.75" customHeight="1">
      <c r="D465" s="61"/>
      <c r="F465" s="2"/>
      <c r="G465" s="2"/>
      <c r="H465" s="2"/>
      <c r="L465" s="62"/>
    </row>
    <row r="466" spans="4:12" ht="15.75" customHeight="1">
      <c r="D466" s="61"/>
      <c r="F466" s="2"/>
      <c r="G466" s="2"/>
      <c r="H466" s="2"/>
      <c r="L466" s="62"/>
    </row>
    <row r="467" spans="4:12" ht="15.75" customHeight="1">
      <c r="D467" s="61"/>
      <c r="F467" s="2"/>
      <c r="G467" s="2"/>
      <c r="H467" s="2"/>
      <c r="L467" s="62"/>
    </row>
    <row r="468" spans="4:12" ht="15.75" customHeight="1">
      <c r="D468" s="61"/>
      <c r="F468" s="2"/>
      <c r="G468" s="2"/>
      <c r="H468" s="2"/>
      <c r="L468" s="62"/>
    </row>
    <row r="469" spans="4:12" ht="15.75" customHeight="1">
      <c r="D469" s="61"/>
      <c r="F469" s="2"/>
      <c r="G469" s="2"/>
      <c r="H469" s="2"/>
      <c r="L469" s="62"/>
    </row>
    <row r="470" spans="4:12" ht="15.75" customHeight="1">
      <c r="D470" s="61"/>
      <c r="F470" s="2"/>
      <c r="G470" s="2"/>
      <c r="H470" s="2"/>
      <c r="L470" s="62"/>
    </row>
    <row r="471" spans="4:12" ht="15.75" customHeight="1">
      <c r="D471" s="61"/>
      <c r="F471" s="2"/>
      <c r="G471" s="2"/>
      <c r="H471" s="2"/>
      <c r="L471" s="62"/>
    </row>
    <row r="472" spans="4:12" ht="15.75" customHeight="1">
      <c r="D472" s="61"/>
      <c r="F472" s="2"/>
      <c r="G472" s="2"/>
      <c r="H472" s="2"/>
      <c r="L472" s="62"/>
    </row>
    <row r="473" spans="4:12" ht="15.75" customHeight="1">
      <c r="D473" s="61"/>
      <c r="F473" s="2"/>
      <c r="G473" s="2"/>
      <c r="H473" s="2"/>
      <c r="L473" s="62"/>
    </row>
    <row r="474" spans="4:12" ht="15.75" customHeight="1">
      <c r="D474" s="61"/>
      <c r="F474" s="2"/>
      <c r="G474" s="2"/>
      <c r="H474" s="2"/>
      <c r="L474" s="62"/>
    </row>
    <row r="475" spans="4:12" ht="15.75" customHeight="1">
      <c r="D475" s="61"/>
      <c r="F475" s="2"/>
      <c r="G475" s="2"/>
      <c r="H475" s="2"/>
      <c r="L475" s="62"/>
    </row>
    <row r="476" spans="4:12" ht="15.75" customHeight="1">
      <c r="D476" s="61"/>
      <c r="F476" s="2"/>
      <c r="G476" s="2"/>
      <c r="H476" s="2"/>
      <c r="L476" s="62"/>
    </row>
    <row r="477" spans="4:12" ht="15.75" customHeight="1">
      <c r="D477" s="61"/>
      <c r="F477" s="2"/>
      <c r="G477" s="2"/>
      <c r="H477" s="2"/>
      <c r="L477" s="62"/>
    </row>
    <row r="478" spans="4:12" ht="15.75" customHeight="1">
      <c r="D478" s="61"/>
      <c r="F478" s="2"/>
      <c r="G478" s="2"/>
      <c r="H478" s="2"/>
      <c r="L478" s="62"/>
    </row>
    <row r="479" spans="4:12" ht="15.75" customHeight="1">
      <c r="D479" s="61"/>
      <c r="F479" s="2"/>
      <c r="G479" s="2"/>
      <c r="H479" s="2"/>
      <c r="L479" s="62"/>
    </row>
    <row r="480" spans="4:12" ht="15.75" customHeight="1">
      <c r="D480" s="61"/>
      <c r="F480" s="2"/>
      <c r="G480" s="2"/>
      <c r="H480" s="2"/>
      <c r="L480" s="62"/>
    </row>
    <row r="481" spans="4:12" ht="15.75" customHeight="1">
      <c r="D481" s="61"/>
      <c r="F481" s="2"/>
      <c r="G481" s="2"/>
      <c r="H481" s="2"/>
      <c r="L481" s="62"/>
    </row>
    <row r="482" spans="4:12" ht="15.75" customHeight="1">
      <c r="D482" s="61"/>
      <c r="F482" s="2"/>
      <c r="G482" s="2"/>
      <c r="H482" s="2"/>
      <c r="L482" s="62"/>
    </row>
    <row r="483" spans="4:12" ht="15.75" customHeight="1">
      <c r="D483" s="61"/>
      <c r="F483" s="2"/>
      <c r="G483" s="2"/>
      <c r="H483" s="2"/>
      <c r="L483" s="62"/>
    </row>
    <row r="484" spans="4:12" ht="15.75" customHeight="1">
      <c r="D484" s="61"/>
      <c r="F484" s="2"/>
      <c r="G484" s="2"/>
      <c r="H484" s="2"/>
      <c r="L484" s="62"/>
    </row>
    <row r="485" spans="4:12" ht="15.75" customHeight="1">
      <c r="D485" s="61"/>
      <c r="F485" s="2"/>
      <c r="G485" s="2"/>
      <c r="H485" s="2"/>
      <c r="L485" s="62"/>
    </row>
    <row r="486" spans="4:12" ht="15.75" customHeight="1">
      <c r="D486" s="61"/>
      <c r="F486" s="2"/>
      <c r="G486" s="2"/>
      <c r="H486" s="2"/>
      <c r="L486" s="62"/>
    </row>
    <row r="487" spans="4:12" ht="15.75" customHeight="1">
      <c r="D487" s="61"/>
      <c r="F487" s="2"/>
      <c r="G487" s="2"/>
      <c r="H487" s="2"/>
      <c r="L487" s="62"/>
    </row>
    <row r="488" spans="4:12" ht="15.75" customHeight="1">
      <c r="D488" s="61"/>
      <c r="F488" s="2"/>
      <c r="G488" s="2"/>
      <c r="H488" s="2"/>
      <c r="L488" s="62"/>
    </row>
    <row r="489" spans="4:12" ht="15.75" customHeight="1">
      <c r="D489" s="61"/>
      <c r="F489" s="2"/>
      <c r="G489" s="2"/>
      <c r="H489" s="2"/>
      <c r="L489" s="62"/>
    </row>
    <row r="490" spans="4:12" ht="15.75" customHeight="1">
      <c r="D490" s="61"/>
      <c r="F490" s="2"/>
      <c r="G490" s="2"/>
      <c r="H490" s="2"/>
      <c r="L490" s="62"/>
    </row>
    <row r="491" spans="4:12" ht="15.75" customHeight="1">
      <c r="D491" s="61"/>
      <c r="F491" s="2"/>
      <c r="G491" s="2"/>
      <c r="H491" s="2"/>
      <c r="L491" s="62"/>
    </row>
    <row r="492" spans="4:12" ht="15.75" customHeight="1">
      <c r="D492" s="61"/>
      <c r="F492" s="2"/>
      <c r="G492" s="2"/>
      <c r="H492" s="2"/>
      <c r="L492" s="62"/>
    </row>
    <row r="493" spans="4:12" ht="15.75" customHeight="1">
      <c r="D493" s="61"/>
      <c r="F493" s="2"/>
      <c r="G493" s="2"/>
      <c r="H493" s="2"/>
      <c r="L493" s="62"/>
    </row>
    <row r="494" spans="4:12" ht="15.75" customHeight="1">
      <c r="D494" s="61"/>
      <c r="F494" s="2"/>
      <c r="G494" s="2"/>
      <c r="H494" s="2"/>
      <c r="L494" s="62"/>
    </row>
    <row r="495" spans="4:12" ht="15.75" customHeight="1">
      <c r="D495" s="61"/>
      <c r="F495" s="2"/>
      <c r="G495" s="2"/>
      <c r="H495" s="2"/>
      <c r="L495" s="62"/>
    </row>
    <row r="496" spans="4:12" ht="15.75" customHeight="1">
      <c r="D496" s="61"/>
      <c r="F496" s="2"/>
      <c r="G496" s="2"/>
      <c r="H496" s="2"/>
      <c r="L496" s="62"/>
    </row>
    <row r="497" spans="4:12" ht="15.75" customHeight="1">
      <c r="D497" s="61"/>
      <c r="F497" s="2"/>
      <c r="G497" s="2"/>
      <c r="H497" s="2"/>
      <c r="L497" s="62"/>
    </row>
    <row r="498" spans="4:12" ht="15.75" customHeight="1">
      <c r="D498" s="61"/>
      <c r="F498" s="2"/>
      <c r="G498" s="2"/>
      <c r="H498" s="2"/>
      <c r="L498" s="62"/>
    </row>
    <row r="499" spans="4:12" ht="15.75" customHeight="1">
      <c r="D499" s="61"/>
      <c r="F499" s="2"/>
      <c r="G499" s="2"/>
      <c r="H499" s="2"/>
      <c r="L499" s="62"/>
    </row>
    <row r="500" spans="4:12" ht="15.75" customHeight="1">
      <c r="D500" s="61"/>
      <c r="F500" s="2"/>
      <c r="G500" s="2"/>
      <c r="H500" s="2"/>
      <c r="L500" s="62"/>
    </row>
    <row r="501" spans="4:12" ht="15.75" customHeight="1">
      <c r="D501" s="61"/>
      <c r="F501" s="2"/>
      <c r="G501" s="2"/>
      <c r="H501" s="2"/>
      <c r="L501" s="62"/>
    </row>
    <row r="502" spans="4:12" ht="15.75" customHeight="1">
      <c r="D502" s="61"/>
      <c r="F502" s="2"/>
      <c r="G502" s="2"/>
      <c r="H502" s="2"/>
      <c r="L502" s="62"/>
    </row>
    <row r="503" spans="4:12" ht="15.75" customHeight="1">
      <c r="D503" s="61"/>
      <c r="F503" s="2"/>
      <c r="G503" s="2"/>
      <c r="H503" s="2"/>
      <c r="L503" s="62"/>
    </row>
    <row r="504" spans="4:12" ht="15.75" customHeight="1">
      <c r="D504" s="61"/>
      <c r="F504" s="2"/>
      <c r="G504" s="2"/>
      <c r="H504" s="2"/>
      <c r="L504" s="62"/>
    </row>
    <row r="505" spans="4:12" ht="15.75" customHeight="1">
      <c r="D505" s="61"/>
      <c r="F505" s="2"/>
      <c r="G505" s="2"/>
      <c r="H505" s="2"/>
      <c r="L505" s="62"/>
    </row>
    <row r="506" spans="4:12" ht="15.75" customHeight="1">
      <c r="D506" s="61"/>
      <c r="F506" s="2"/>
      <c r="G506" s="2"/>
      <c r="H506" s="2"/>
      <c r="L506" s="62"/>
    </row>
    <row r="507" spans="4:12" ht="15.75" customHeight="1">
      <c r="D507" s="61"/>
      <c r="F507" s="2"/>
      <c r="G507" s="2"/>
      <c r="H507" s="2"/>
      <c r="L507" s="62"/>
    </row>
    <row r="508" spans="4:12" ht="15.75" customHeight="1">
      <c r="D508" s="61"/>
      <c r="F508" s="2"/>
      <c r="G508" s="2"/>
      <c r="H508" s="2"/>
      <c r="L508" s="62"/>
    </row>
    <row r="509" spans="4:12" ht="15.75" customHeight="1">
      <c r="D509" s="61"/>
      <c r="F509" s="2"/>
      <c r="G509" s="2"/>
      <c r="H509" s="2"/>
      <c r="L509" s="62"/>
    </row>
    <row r="510" spans="4:12" ht="15.75" customHeight="1">
      <c r="D510" s="61"/>
      <c r="F510" s="2"/>
      <c r="G510" s="2"/>
      <c r="H510" s="2"/>
      <c r="L510" s="62"/>
    </row>
    <row r="511" spans="4:12" ht="15.75" customHeight="1">
      <c r="D511" s="61"/>
      <c r="F511" s="2"/>
      <c r="G511" s="2"/>
      <c r="H511" s="2"/>
      <c r="L511" s="62"/>
    </row>
    <row r="512" spans="4:12" ht="15.75" customHeight="1">
      <c r="D512" s="61"/>
      <c r="F512" s="2"/>
      <c r="G512" s="2"/>
      <c r="H512" s="2"/>
      <c r="L512" s="62"/>
    </row>
    <row r="513" spans="4:12" ht="15.75" customHeight="1">
      <c r="D513" s="61"/>
      <c r="F513" s="2"/>
      <c r="G513" s="2"/>
      <c r="H513" s="2"/>
      <c r="L513" s="62"/>
    </row>
    <row r="514" spans="4:12" ht="15.75" customHeight="1">
      <c r="D514" s="61"/>
      <c r="F514" s="2"/>
      <c r="G514" s="2"/>
      <c r="H514" s="2"/>
      <c r="L514" s="62"/>
    </row>
    <row r="515" spans="4:12" ht="15.75" customHeight="1">
      <c r="D515" s="61"/>
      <c r="F515" s="2"/>
      <c r="G515" s="2"/>
      <c r="H515" s="2"/>
      <c r="L515" s="62"/>
    </row>
    <row r="516" spans="4:12" ht="15.75" customHeight="1">
      <c r="D516" s="61"/>
      <c r="F516" s="2"/>
      <c r="G516" s="2"/>
      <c r="H516" s="2"/>
      <c r="L516" s="62"/>
    </row>
    <row r="517" spans="4:12" ht="15.75" customHeight="1">
      <c r="D517" s="61"/>
      <c r="F517" s="2"/>
      <c r="G517" s="2"/>
      <c r="H517" s="2"/>
      <c r="L517" s="62"/>
    </row>
    <row r="518" spans="4:12" ht="15.75" customHeight="1">
      <c r="D518" s="61"/>
      <c r="F518" s="2"/>
      <c r="G518" s="2"/>
      <c r="H518" s="2"/>
      <c r="L518" s="62"/>
    </row>
    <row r="519" spans="4:12" ht="15.75" customHeight="1">
      <c r="D519" s="61"/>
      <c r="F519" s="2"/>
      <c r="G519" s="2"/>
      <c r="H519" s="2"/>
      <c r="L519" s="62"/>
    </row>
    <row r="520" spans="4:12" ht="15.75" customHeight="1">
      <c r="D520" s="61"/>
      <c r="F520" s="2"/>
      <c r="G520" s="2"/>
      <c r="H520" s="2"/>
      <c r="L520" s="62"/>
    </row>
    <row r="521" spans="4:12" ht="15.75" customHeight="1">
      <c r="D521" s="61"/>
      <c r="F521" s="2"/>
      <c r="G521" s="2"/>
      <c r="H521" s="2"/>
      <c r="L521" s="62"/>
    </row>
    <row r="522" spans="4:12" ht="15.75" customHeight="1">
      <c r="D522" s="61"/>
      <c r="F522" s="2"/>
      <c r="G522" s="2"/>
      <c r="H522" s="2"/>
      <c r="L522" s="62"/>
    </row>
    <row r="523" spans="4:12" ht="15.75" customHeight="1">
      <c r="D523" s="61"/>
      <c r="F523" s="2"/>
      <c r="G523" s="2"/>
      <c r="H523" s="2"/>
      <c r="L523" s="62"/>
    </row>
    <row r="524" spans="4:12" ht="15.75" customHeight="1">
      <c r="D524" s="61"/>
      <c r="F524" s="2"/>
      <c r="G524" s="2"/>
      <c r="H524" s="2"/>
      <c r="L524" s="62"/>
    </row>
    <row r="525" spans="4:12" ht="15.75" customHeight="1">
      <c r="D525" s="61"/>
      <c r="F525" s="2"/>
      <c r="G525" s="2"/>
      <c r="H525" s="2"/>
      <c r="L525" s="62"/>
    </row>
    <row r="526" spans="4:12" ht="15.75" customHeight="1">
      <c r="D526" s="61"/>
      <c r="F526" s="2"/>
      <c r="G526" s="2"/>
      <c r="H526" s="2"/>
      <c r="L526" s="62"/>
    </row>
    <row r="527" spans="4:12" ht="15.75" customHeight="1">
      <c r="D527" s="61"/>
      <c r="F527" s="2"/>
      <c r="G527" s="2"/>
      <c r="H527" s="2"/>
      <c r="L527" s="62"/>
    </row>
    <row r="528" spans="4:12" ht="15.75" customHeight="1">
      <c r="D528" s="61"/>
      <c r="F528" s="2"/>
      <c r="G528" s="2"/>
      <c r="H528" s="2"/>
      <c r="L528" s="62"/>
    </row>
    <row r="529" spans="4:12" ht="15.75" customHeight="1">
      <c r="D529" s="61"/>
      <c r="F529" s="2"/>
      <c r="G529" s="2"/>
      <c r="H529" s="2"/>
      <c r="L529" s="62"/>
    </row>
    <row r="530" spans="4:12" ht="15.75" customHeight="1">
      <c r="D530" s="61"/>
      <c r="F530" s="2"/>
      <c r="G530" s="2"/>
      <c r="H530" s="2"/>
      <c r="L530" s="62"/>
    </row>
    <row r="531" spans="4:12" ht="15.75" customHeight="1">
      <c r="D531" s="61"/>
      <c r="F531" s="2"/>
      <c r="G531" s="2"/>
      <c r="H531" s="2"/>
      <c r="L531" s="62"/>
    </row>
    <row r="532" spans="4:12" ht="15.75" customHeight="1">
      <c r="D532" s="61"/>
      <c r="F532" s="2"/>
      <c r="G532" s="2"/>
      <c r="H532" s="2"/>
      <c r="L532" s="62"/>
    </row>
    <row r="533" spans="4:12" ht="15.75" customHeight="1">
      <c r="D533" s="61"/>
      <c r="F533" s="2"/>
      <c r="G533" s="2"/>
      <c r="H533" s="2"/>
      <c r="L533" s="62"/>
    </row>
    <row r="534" spans="4:12" ht="15.75" customHeight="1">
      <c r="D534" s="61"/>
      <c r="F534" s="2"/>
      <c r="G534" s="2"/>
      <c r="H534" s="2"/>
      <c r="L534" s="62"/>
    </row>
    <row r="535" spans="4:12" ht="15.75" customHeight="1">
      <c r="D535" s="61"/>
      <c r="F535" s="2"/>
      <c r="G535" s="2"/>
      <c r="H535" s="2"/>
      <c r="L535" s="62"/>
    </row>
    <row r="536" spans="4:12" ht="15.75" customHeight="1">
      <c r="D536" s="61"/>
      <c r="F536" s="2"/>
      <c r="G536" s="2"/>
      <c r="H536" s="2"/>
      <c r="L536" s="62"/>
    </row>
    <row r="537" spans="4:12" ht="15.75" customHeight="1">
      <c r="D537" s="61"/>
      <c r="F537" s="2"/>
      <c r="G537" s="2"/>
      <c r="H537" s="2"/>
      <c r="L537" s="62"/>
    </row>
    <row r="538" spans="4:12" ht="15.75" customHeight="1">
      <c r="D538" s="61"/>
      <c r="F538" s="2"/>
      <c r="G538" s="2"/>
      <c r="H538" s="2"/>
      <c r="L538" s="62"/>
    </row>
    <row r="539" spans="4:12" ht="15.75" customHeight="1">
      <c r="D539" s="61"/>
      <c r="F539" s="2"/>
      <c r="G539" s="2"/>
      <c r="H539" s="2"/>
      <c r="L539" s="62"/>
    </row>
    <row r="540" spans="4:12" ht="15.75" customHeight="1">
      <c r="D540" s="61"/>
      <c r="F540" s="2"/>
      <c r="G540" s="2"/>
      <c r="H540" s="2"/>
      <c r="L540" s="62"/>
    </row>
    <row r="541" spans="4:12" ht="15.75" customHeight="1">
      <c r="D541" s="61"/>
      <c r="F541" s="2"/>
      <c r="G541" s="2"/>
      <c r="H541" s="2"/>
      <c r="L541" s="62"/>
    </row>
    <row r="542" spans="4:12" ht="15.75" customHeight="1">
      <c r="D542" s="61"/>
      <c r="F542" s="2"/>
      <c r="G542" s="2"/>
      <c r="H542" s="2"/>
      <c r="L542" s="62"/>
    </row>
    <row r="543" spans="4:12" ht="15.75" customHeight="1">
      <c r="D543" s="61"/>
      <c r="F543" s="2"/>
      <c r="G543" s="2"/>
      <c r="H543" s="2"/>
      <c r="L543" s="62"/>
    </row>
    <row r="544" spans="4:12" ht="15.75" customHeight="1">
      <c r="D544" s="61"/>
      <c r="F544" s="2"/>
      <c r="G544" s="2"/>
      <c r="H544" s="2"/>
      <c r="L544" s="62"/>
    </row>
    <row r="545" spans="4:12" ht="15.75" customHeight="1">
      <c r="D545" s="61"/>
      <c r="F545" s="2"/>
      <c r="G545" s="2"/>
      <c r="H545" s="2"/>
      <c r="L545" s="62"/>
    </row>
    <row r="546" spans="4:12" ht="15.75" customHeight="1">
      <c r="D546" s="61"/>
      <c r="F546" s="2"/>
      <c r="G546" s="2"/>
      <c r="H546" s="2"/>
      <c r="L546" s="62"/>
    </row>
    <row r="547" spans="4:12" ht="15.75" customHeight="1">
      <c r="D547" s="61"/>
      <c r="F547" s="2"/>
      <c r="G547" s="2"/>
      <c r="H547" s="2"/>
      <c r="L547" s="62"/>
    </row>
    <row r="548" spans="4:12" ht="15.75" customHeight="1">
      <c r="D548" s="61"/>
      <c r="F548" s="2"/>
      <c r="G548" s="2"/>
      <c r="H548" s="2"/>
      <c r="L548" s="62"/>
    </row>
    <row r="549" spans="4:12" ht="15.75" customHeight="1">
      <c r="D549" s="61"/>
      <c r="F549" s="2"/>
      <c r="G549" s="2"/>
      <c r="H549" s="2"/>
      <c r="L549" s="62"/>
    </row>
    <row r="550" spans="4:12" ht="15.75" customHeight="1">
      <c r="D550" s="61"/>
      <c r="F550" s="2"/>
      <c r="G550" s="2"/>
      <c r="H550" s="2"/>
      <c r="L550" s="62"/>
    </row>
    <row r="551" spans="4:12" ht="15.75" customHeight="1">
      <c r="D551" s="61"/>
      <c r="F551" s="2"/>
      <c r="G551" s="2"/>
      <c r="H551" s="2"/>
      <c r="L551" s="62"/>
    </row>
    <row r="552" spans="4:12" ht="15.75" customHeight="1">
      <c r="D552" s="61"/>
      <c r="F552" s="2"/>
      <c r="G552" s="2"/>
      <c r="H552" s="2"/>
      <c r="L552" s="62"/>
    </row>
    <row r="553" spans="4:12" ht="15.75" customHeight="1">
      <c r="D553" s="61"/>
      <c r="F553" s="2"/>
      <c r="G553" s="2"/>
      <c r="H553" s="2"/>
      <c r="L553" s="62"/>
    </row>
    <row r="554" spans="4:12" ht="15.75" customHeight="1">
      <c r="D554" s="61"/>
      <c r="F554" s="2"/>
      <c r="G554" s="2"/>
      <c r="H554" s="2"/>
      <c r="L554" s="62"/>
    </row>
    <row r="555" spans="4:12" ht="15.75" customHeight="1">
      <c r="D555" s="61"/>
      <c r="F555" s="2"/>
      <c r="G555" s="2"/>
      <c r="H555" s="2"/>
      <c r="L555" s="62"/>
    </row>
    <row r="556" spans="4:12" ht="15.75" customHeight="1">
      <c r="D556" s="61"/>
      <c r="F556" s="2"/>
      <c r="G556" s="2"/>
      <c r="H556" s="2"/>
      <c r="L556" s="62"/>
    </row>
    <row r="557" spans="4:12" ht="15.75" customHeight="1">
      <c r="D557" s="61"/>
      <c r="F557" s="2"/>
      <c r="G557" s="2"/>
      <c r="H557" s="2"/>
      <c r="L557" s="62"/>
    </row>
    <row r="558" spans="4:12" ht="15.75" customHeight="1">
      <c r="D558" s="61"/>
      <c r="F558" s="2"/>
      <c r="G558" s="2"/>
      <c r="H558" s="2"/>
      <c r="L558" s="62"/>
    </row>
    <row r="559" spans="4:12" ht="15.75" customHeight="1">
      <c r="D559" s="61"/>
      <c r="F559" s="2"/>
      <c r="G559" s="2"/>
      <c r="H559" s="2"/>
      <c r="L559" s="62"/>
    </row>
    <row r="560" spans="4:12" ht="15.75" customHeight="1">
      <c r="D560" s="61"/>
      <c r="F560" s="2"/>
      <c r="G560" s="2"/>
      <c r="H560" s="2"/>
      <c r="L560" s="62"/>
    </row>
    <row r="561" spans="4:12" ht="15.75" customHeight="1">
      <c r="D561" s="61"/>
      <c r="F561" s="2"/>
      <c r="G561" s="2"/>
      <c r="H561" s="2"/>
      <c r="L561" s="62"/>
    </row>
    <row r="562" spans="4:12" ht="15.75" customHeight="1">
      <c r="D562" s="61"/>
      <c r="F562" s="2"/>
      <c r="G562" s="2"/>
      <c r="H562" s="2"/>
      <c r="L562" s="62"/>
    </row>
    <row r="563" spans="4:12" ht="15.75" customHeight="1">
      <c r="D563" s="61"/>
      <c r="F563" s="2"/>
      <c r="G563" s="2"/>
      <c r="H563" s="2"/>
      <c r="L563" s="62"/>
    </row>
    <row r="564" spans="4:12" ht="15.75" customHeight="1">
      <c r="D564" s="61"/>
      <c r="F564" s="2"/>
      <c r="G564" s="2"/>
      <c r="H564" s="2"/>
      <c r="L564" s="62"/>
    </row>
    <row r="565" spans="4:12" ht="15.75" customHeight="1">
      <c r="D565" s="61"/>
      <c r="F565" s="2"/>
      <c r="G565" s="2"/>
      <c r="H565" s="2"/>
      <c r="L565" s="62"/>
    </row>
    <row r="566" spans="4:12" ht="15.75" customHeight="1">
      <c r="D566" s="61"/>
      <c r="F566" s="2"/>
      <c r="G566" s="2"/>
      <c r="H566" s="2"/>
      <c r="L566" s="62"/>
    </row>
    <row r="567" spans="4:12" ht="15.75" customHeight="1">
      <c r="D567" s="61"/>
      <c r="F567" s="2"/>
      <c r="G567" s="2"/>
      <c r="H567" s="2"/>
      <c r="L567" s="62"/>
    </row>
    <row r="568" spans="4:12" ht="15.75" customHeight="1">
      <c r="D568" s="61"/>
      <c r="F568" s="2"/>
      <c r="G568" s="2"/>
      <c r="H568" s="2"/>
      <c r="L568" s="62"/>
    </row>
    <row r="569" spans="4:12" ht="15.75" customHeight="1">
      <c r="D569" s="61"/>
      <c r="F569" s="2"/>
      <c r="G569" s="2"/>
      <c r="H569" s="2"/>
      <c r="L569" s="62"/>
    </row>
    <row r="570" spans="4:12" ht="15.75" customHeight="1">
      <c r="D570" s="61"/>
      <c r="F570" s="2"/>
      <c r="G570" s="2"/>
      <c r="H570" s="2"/>
      <c r="L570" s="62"/>
    </row>
    <row r="571" spans="4:12" ht="15.75" customHeight="1">
      <c r="D571" s="61"/>
      <c r="F571" s="2"/>
      <c r="G571" s="2"/>
      <c r="H571" s="2"/>
      <c r="L571" s="62"/>
    </row>
    <row r="572" spans="4:12" ht="15.75" customHeight="1">
      <c r="D572" s="61"/>
      <c r="F572" s="2"/>
      <c r="G572" s="2"/>
      <c r="H572" s="2"/>
      <c r="L572" s="62"/>
    </row>
    <row r="573" spans="4:12" ht="15.75" customHeight="1">
      <c r="D573" s="61"/>
      <c r="F573" s="2"/>
      <c r="G573" s="2"/>
      <c r="H573" s="2"/>
      <c r="L573" s="62"/>
    </row>
    <row r="574" spans="4:12" ht="15.75" customHeight="1">
      <c r="D574" s="61"/>
      <c r="F574" s="2"/>
      <c r="G574" s="2"/>
      <c r="H574" s="2"/>
      <c r="L574" s="62"/>
    </row>
    <row r="575" spans="4:12" ht="15.75" customHeight="1">
      <c r="D575" s="61"/>
      <c r="F575" s="2"/>
      <c r="G575" s="2"/>
      <c r="H575" s="2"/>
      <c r="L575" s="62"/>
    </row>
    <row r="576" spans="4:12" ht="15.75" customHeight="1">
      <c r="D576" s="61"/>
      <c r="F576" s="2"/>
      <c r="G576" s="2"/>
      <c r="H576" s="2"/>
      <c r="L576" s="62"/>
    </row>
    <row r="577" spans="4:12" ht="15.75" customHeight="1">
      <c r="D577" s="61"/>
      <c r="F577" s="2"/>
      <c r="G577" s="2"/>
      <c r="H577" s="2"/>
      <c r="L577" s="62"/>
    </row>
    <row r="578" spans="4:12" ht="15.75" customHeight="1">
      <c r="D578" s="61"/>
      <c r="F578" s="2"/>
      <c r="G578" s="2"/>
      <c r="H578" s="2"/>
      <c r="L578" s="62"/>
    </row>
    <row r="579" spans="4:12" ht="15.75" customHeight="1">
      <c r="D579" s="61"/>
      <c r="F579" s="2"/>
      <c r="G579" s="2"/>
      <c r="H579" s="2"/>
      <c r="L579" s="62"/>
    </row>
    <row r="580" spans="4:12" ht="15.75" customHeight="1">
      <c r="D580" s="61"/>
      <c r="F580" s="2"/>
      <c r="G580" s="2"/>
      <c r="H580" s="2"/>
      <c r="L580" s="62"/>
    </row>
    <row r="581" spans="4:12" ht="15.75" customHeight="1">
      <c r="D581" s="61"/>
      <c r="F581" s="2"/>
      <c r="G581" s="2"/>
      <c r="H581" s="2"/>
      <c r="L581" s="62"/>
    </row>
    <row r="582" spans="4:12" ht="15.75" customHeight="1">
      <c r="D582" s="61"/>
      <c r="F582" s="2"/>
      <c r="G582" s="2"/>
      <c r="H582" s="2"/>
      <c r="L582" s="62"/>
    </row>
    <row r="583" spans="4:12" ht="15.75" customHeight="1">
      <c r="D583" s="61"/>
      <c r="F583" s="2"/>
      <c r="G583" s="2"/>
      <c r="H583" s="2"/>
      <c r="L583" s="62"/>
    </row>
    <row r="584" spans="4:12" ht="15.75" customHeight="1">
      <c r="D584" s="61"/>
      <c r="F584" s="2"/>
      <c r="G584" s="2"/>
      <c r="H584" s="2"/>
      <c r="L584" s="62"/>
    </row>
    <row r="585" spans="4:12" ht="15.75" customHeight="1">
      <c r="D585" s="61"/>
      <c r="F585" s="2"/>
      <c r="G585" s="2"/>
      <c r="H585" s="2"/>
      <c r="L585" s="62"/>
    </row>
    <row r="586" spans="4:12" ht="15.75" customHeight="1">
      <c r="D586" s="61"/>
      <c r="F586" s="2"/>
      <c r="G586" s="2"/>
      <c r="H586" s="2"/>
      <c r="L586" s="62"/>
    </row>
    <row r="587" spans="4:12" ht="15.75" customHeight="1">
      <c r="D587" s="61"/>
      <c r="F587" s="2"/>
      <c r="G587" s="2"/>
      <c r="H587" s="2"/>
      <c r="L587" s="62"/>
    </row>
    <row r="588" spans="4:12" ht="15.75" customHeight="1">
      <c r="D588" s="61"/>
      <c r="F588" s="2"/>
      <c r="G588" s="2"/>
      <c r="H588" s="2"/>
      <c r="L588" s="62"/>
    </row>
    <row r="589" spans="4:12" ht="15.75" customHeight="1">
      <c r="D589" s="61"/>
      <c r="F589" s="2"/>
      <c r="G589" s="2"/>
      <c r="H589" s="2"/>
      <c r="L589" s="62"/>
    </row>
    <row r="590" spans="4:12" ht="15.75" customHeight="1">
      <c r="D590" s="61"/>
      <c r="F590" s="2"/>
      <c r="G590" s="2"/>
      <c r="H590" s="2"/>
      <c r="L590" s="62"/>
    </row>
    <row r="591" spans="4:12" ht="15.75" customHeight="1">
      <c r="D591" s="61"/>
      <c r="F591" s="2"/>
      <c r="G591" s="2"/>
      <c r="H591" s="2"/>
      <c r="L591" s="62"/>
    </row>
    <row r="592" spans="4:12" ht="15.75" customHeight="1">
      <c r="D592" s="61"/>
      <c r="F592" s="2"/>
      <c r="G592" s="2"/>
      <c r="H592" s="2"/>
      <c r="L592" s="62"/>
    </row>
    <row r="593" spans="4:12" ht="15.75" customHeight="1">
      <c r="D593" s="61"/>
      <c r="F593" s="2"/>
      <c r="G593" s="2"/>
      <c r="H593" s="2"/>
      <c r="L593" s="62"/>
    </row>
    <row r="594" spans="4:12" ht="15.75" customHeight="1">
      <c r="D594" s="61"/>
      <c r="F594" s="2"/>
      <c r="G594" s="2"/>
      <c r="H594" s="2"/>
      <c r="L594" s="62"/>
    </row>
    <row r="595" spans="4:12" ht="15.75" customHeight="1">
      <c r="D595" s="61"/>
      <c r="F595" s="2"/>
      <c r="G595" s="2"/>
      <c r="H595" s="2"/>
      <c r="L595" s="62"/>
    </row>
    <row r="596" spans="4:12" ht="15.75" customHeight="1">
      <c r="D596" s="61"/>
      <c r="F596" s="2"/>
      <c r="G596" s="2"/>
      <c r="H596" s="2"/>
      <c r="L596" s="62"/>
    </row>
    <row r="597" spans="4:12" ht="15.75" customHeight="1">
      <c r="D597" s="61"/>
      <c r="F597" s="2"/>
      <c r="G597" s="2"/>
      <c r="H597" s="2"/>
      <c r="L597" s="62"/>
    </row>
    <row r="598" spans="4:12" ht="15.75" customHeight="1">
      <c r="D598" s="61"/>
      <c r="F598" s="2"/>
      <c r="G598" s="2"/>
      <c r="H598" s="2"/>
      <c r="L598" s="62"/>
    </row>
    <row r="599" spans="4:12" ht="15.75" customHeight="1">
      <c r="D599" s="61"/>
      <c r="F599" s="2"/>
      <c r="G599" s="2"/>
      <c r="H599" s="2"/>
      <c r="L599" s="62"/>
    </row>
    <row r="600" spans="4:12" ht="15.75" customHeight="1">
      <c r="D600" s="61"/>
      <c r="F600" s="2"/>
      <c r="G600" s="2"/>
      <c r="H600" s="2"/>
      <c r="L600" s="62"/>
    </row>
    <row r="601" spans="4:12" ht="15.75" customHeight="1">
      <c r="D601" s="61"/>
      <c r="F601" s="2"/>
      <c r="G601" s="2"/>
      <c r="H601" s="2"/>
      <c r="L601" s="62"/>
    </row>
    <row r="602" spans="4:12" ht="15.75" customHeight="1">
      <c r="D602" s="61"/>
      <c r="F602" s="2"/>
      <c r="G602" s="2"/>
      <c r="H602" s="2"/>
      <c r="L602" s="62"/>
    </row>
    <row r="603" spans="4:12" ht="15.75" customHeight="1">
      <c r="D603" s="61"/>
      <c r="F603" s="2"/>
      <c r="G603" s="2"/>
      <c r="H603" s="2"/>
      <c r="L603" s="62"/>
    </row>
    <row r="604" spans="4:12" ht="15.75" customHeight="1">
      <c r="D604" s="61"/>
      <c r="F604" s="2"/>
      <c r="G604" s="2"/>
      <c r="H604" s="2"/>
      <c r="L604" s="62"/>
    </row>
    <row r="605" spans="4:12" ht="15.75" customHeight="1">
      <c r="D605" s="61"/>
      <c r="F605" s="2"/>
      <c r="G605" s="2"/>
      <c r="H605" s="2"/>
      <c r="L605" s="62"/>
    </row>
    <row r="606" spans="4:12" ht="15.75" customHeight="1">
      <c r="D606" s="61"/>
      <c r="F606" s="2"/>
      <c r="G606" s="2"/>
      <c r="H606" s="2"/>
      <c r="L606" s="62"/>
    </row>
    <row r="607" spans="4:12" ht="15.75" customHeight="1">
      <c r="D607" s="61"/>
      <c r="F607" s="2"/>
      <c r="G607" s="2"/>
      <c r="H607" s="2"/>
      <c r="L607" s="62"/>
    </row>
    <row r="608" spans="4:12" ht="15.75" customHeight="1">
      <c r="D608" s="61"/>
      <c r="F608" s="2"/>
      <c r="G608" s="2"/>
      <c r="H608" s="2"/>
      <c r="L608" s="62"/>
    </row>
    <row r="609" spans="4:12" ht="15.75" customHeight="1">
      <c r="D609" s="61"/>
      <c r="F609" s="2"/>
      <c r="G609" s="2"/>
      <c r="H609" s="2"/>
      <c r="L609" s="62"/>
    </row>
    <row r="610" spans="4:12" ht="15.75" customHeight="1">
      <c r="D610" s="61"/>
      <c r="F610" s="2"/>
      <c r="G610" s="2"/>
      <c r="H610" s="2"/>
      <c r="L610" s="62"/>
    </row>
    <row r="611" spans="4:12" ht="15.75" customHeight="1">
      <c r="D611" s="61"/>
      <c r="F611" s="2"/>
      <c r="G611" s="2"/>
      <c r="H611" s="2"/>
      <c r="L611" s="62"/>
    </row>
    <row r="612" spans="4:12" ht="15.75" customHeight="1">
      <c r="D612" s="61"/>
      <c r="F612" s="2"/>
      <c r="G612" s="2"/>
      <c r="H612" s="2"/>
      <c r="L612" s="62"/>
    </row>
    <row r="613" spans="4:12" ht="15.75" customHeight="1">
      <c r="D613" s="61"/>
      <c r="F613" s="2"/>
      <c r="G613" s="2"/>
      <c r="H613" s="2"/>
      <c r="L613" s="62"/>
    </row>
    <row r="614" spans="4:12" ht="15.75" customHeight="1">
      <c r="D614" s="61"/>
      <c r="F614" s="2"/>
      <c r="G614" s="2"/>
      <c r="H614" s="2"/>
      <c r="L614" s="62"/>
    </row>
    <row r="615" spans="4:12" ht="15.75" customHeight="1">
      <c r="D615" s="61"/>
      <c r="F615" s="2"/>
      <c r="G615" s="2"/>
      <c r="H615" s="2"/>
      <c r="L615" s="62"/>
    </row>
    <row r="616" spans="4:12" ht="15.75" customHeight="1">
      <c r="D616" s="61"/>
      <c r="F616" s="2"/>
      <c r="G616" s="2"/>
      <c r="H616" s="2"/>
      <c r="L616" s="62"/>
    </row>
    <row r="617" spans="4:12" ht="15.75" customHeight="1">
      <c r="D617" s="61"/>
      <c r="F617" s="2"/>
      <c r="G617" s="2"/>
      <c r="H617" s="2"/>
      <c r="L617" s="62"/>
    </row>
    <row r="618" spans="4:12" ht="15.75" customHeight="1">
      <c r="D618" s="61"/>
      <c r="F618" s="2"/>
      <c r="G618" s="2"/>
      <c r="H618" s="2"/>
      <c r="L618" s="62"/>
    </row>
    <row r="619" spans="4:12" ht="15.75" customHeight="1">
      <c r="D619" s="61"/>
      <c r="F619" s="2"/>
      <c r="G619" s="2"/>
      <c r="H619" s="2"/>
      <c r="L619" s="62"/>
    </row>
    <row r="620" spans="4:12" ht="15.75" customHeight="1">
      <c r="D620" s="61"/>
      <c r="F620" s="2"/>
      <c r="G620" s="2"/>
      <c r="H620" s="2"/>
      <c r="L620" s="62"/>
    </row>
    <row r="621" spans="4:12" ht="15.75" customHeight="1">
      <c r="D621" s="61"/>
      <c r="F621" s="2"/>
      <c r="G621" s="2"/>
      <c r="H621" s="2"/>
      <c r="L621" s="62"/>
    </row>
    <row r="622" spans="4:12" ht="15.75" customHeight="1">
      <c r="D622" s="61"/>
      <c r="F622" s="2"/>
      <c r="G622" s="2"/>
      <c r="H622" s="2"/>
      <c r="L622" s="62"/>
    </row>
    <row r="623" spans="4:12" ht="15.75" customHeight="1">
      <c r="D623" s="61"/>
      <c r="F623" s="2"/>
      <c r="G623" s="2"/>
      <c r="H623" s="2"/>
      <c r="L623" s="62"/>
    </row>
    <row r="624" spans="4:12" ht="15.75" customHeight="1">
      <c r="D624" s="61"/>
      <c r="F624" s="2"/>
      <c r="G624" s="2"/>
      <c r="H624" s="2"/>
      <c r="L624" s="62"/>
    </row>
    <row r="625" spans="4:12" ht="15.75" customHeight="1">
      <c r="D625" s="61"/>
      <c r="F625" s="2"/>
      <c r="G625" s="2"/>
      <c r="H625" s="2"/>
      <c r="L625" s="62"/>
    </row>
    <row r="626" spans="4:12" ht="15.75" customHeight="1">
      <c r="D626" s="61"/>
      <c r="F626" s="2"/>
      <c r="G626" s="2"/>
      <c r="H626" s="2"/>
      <c r="L626" s="62"/>
    </row>
    <row r="627" spans="4:12" ht="15.75" customHeight="1">
      <c r="D627" s="61"/>
      <c r="F627" s="2"/>
      <c r="G627" s="2"/>
      <c r="H627" s="2"/>
      <c r="L627" s="62"/>
    </row>
    <row r="628" spans="4:12" ht="15.75" customHeight="1">
      <c r="D628" s="61"/>
      <c r="F628" s="2"/>
      <c r="G628" s="2"/>
      <c r="H628" s="2"/>
      <c r="L628" s="62"/>
    </row>
    <row r="629" spans="4:12" ht="15.75" customHeight="1">
      <c r="D629" s="61"/>
      <c r="F629" s="2"/>
      <c r="G629" s="2"/>
      <c r="H629" s="2"/>
      <c r="L629" s="62"/>
    </row>
    <row r="630" spans="4:12" ht="15.75" customHeight="1">
      <c r="D630" s="61"/>
      <c r="F630" s="2"/>
      <c r="G630" s="2"/>
      <c r="H630" s="2"/>
      <c r="L630" s="62"/>
    </row>
    <row r="631" spans="4:12" ht="15.75" customHeight="1">
      <c r="D631" s="61"/>
      <c r="F631" s="2"/>
      <c r="G631" s="2"/>
      <c r="H631" s="2"/>
      <c r="L631" s="62"/>
    </row>
    <row r="632" spans="4:12" ht="15.75" customHeight="1">
      <c r="D632" s="61"/>
      <c r="F632" s="2"/>
      <c r="G632" s="2"/>
      <c r="H632" s="2"/>
      <c r="L632" s="62"/>
    </row>
    <row r="633" spans="4:12" ht="15.75" customHeight="1">
      <c r="D633" s="61"/>
      <c r="F633" s="2"/>
      <c r="G633" s="2"/>
      <c r="H633" s="2"/>
      <c r="L633" s="62"/>
    </row>
    <row r="634" spans="4:12" ht="15.75" customHeight="1">
      <c r="D634" s="61"/>
      <c r="F634" s="2"/>
      <c r="G634" s="2"/>
      <c r="H634" s="2"/>
      <c r="L634" s="62"/>
    </row>
    <row r="635" spans="4:12" ht="15.75" customHeight="1">
      <c r="D635" s="61"/>
      <c r="F635" s="2"/>
      <c r="G635" s="2"/>
      <c r="H635" s="2"/>
      <c r="L635" s="62"/>
    </row>
    <row r="636" spans="4:12" ht="15.75" customHeight="1">
      <c r="D636" s="61"/>
      <c r="F636" s="2"/>
      <c r="G636" s="2"/>
      <c r="H636" s="2"/>
      <c r="L636" s="62"/>
    </row>
    <row r="637" spans="4:12" ht="15.75" customHeight="1">
      <c r="D637" s="61"/>
      <c r="F637" s="2"/>
      <c r="G637" s="2"/>
      <c r="H637" s="2"/>
      <c r="L637" s="62"/>
    </row>
    <row r="638" spans="4:12" ht="15.75" customHeight="1">
      <c r="D638" s="61"/>
      <c r="F638" s="2"/>
      <c r="G638" s="2"/>
      <c r="H638" s="2"/>
      <c r="L638" s="62"/>
    </row>
    <row r="639" spans="4:12" ht="15.75" customHeight="1">
      <c r="D639" s="61"/>
      <c r="F639" s="2"/>
      <c r="G639" s="2"/>
      <c r="H639" s="2"/>
      <c r="L639" s="62"/>
    </row>
    <row r="640" spans="4:12" ht="15.75" customHeight="1">
      <c r="D640" s="61"/>
      <c r="F640" s="2"/>
      <c r="G640" s="2"/>
      <c r="H640" s="2"/>
      <c r="L640" s="62"/>
    </row>
    <row r="641" spans="4:12" ht="15.75" customHeight="1">
      <c r="D641" s="61"/>
      <c r="F641" s="2"/>
      <c r="G641" s="2"/>
      <c r="H641" s="2"/>
      <c r="L641" s="62"/>
    </row>
    <row r="642" spans="4:12" ht="15.75" customHeight="1">
      <c r="D642" s="61"/>
      <c r="F642" s="2"/>
      <c r="G642" s="2"/>
      <c r="H642" s="2"/>
      <c r="L642" s="62"/>
    </row>
    <row r="643" spans="4:12" ht="15.75" customHeight="1">
      <c r="D643" s="61"/>
      <c r="F643" s="2"/>
      <c r="G643" s="2"/>
      <c r="H643" s="2"/>
      <c r="L643" s="62"/>
    </row>
    <row r="644" spans="4:12" ht="15.75" customHeight="1">
      <c r="D644" s="61"/>
      <c r="F644" s="2"/>
      <c r="G644" s="2"/>
      <c r="H644" s="2"/>
      <c r="L644" s="62"/>
    </row>
    <row r="645" spans="4:12" ht="15.75" customHeight="1">
      <c r="D645" s="61"/>
      <c r="F645" s="2"/>
      <c r="G645" s="2"/>
      <c r="H645" s="2"/>
      <c r="L645" s="62"/>
    </row>
    <row r="646" spans="4:12" ht="15.75" customHeight="1">
      <c r="D646" s="61"/>
      <c r="F646" s="2"/>
      <c r="G646" s="2"/>
      <c r="H646" s="2"/>
      <c r="L646" s="62"/>
    </row>
    <row r="647" spans="4:12" ht="15.75" customHeight="1">
      <c r="D647" s="61"/>
      <c r="F647" s="2"/>
      <c r="G647" s="2"/>
      <c r="H647" s="2"/>
      <c r="L647" s="62"/>
    </row>
    <row r="648" spans="4:12" ht="15.75" customHeight="1">
      <c r="D648" s="61"/>
      <c r="F648" s="2"/>
      <c r="G648" s="2"/>
      <c r="H648" s="2"/>
      <c r="L648" s="62"/>
    </row>
    <row r="649" spans="4:12" ht="15.75" customHeight="1">
      <c r="D649" s="61"/>
      <c r="F649" s="2"/>
      <c r="G649" s="2"/>
      <c r="H649" s="2"/>
      <c r="L649" s="62"/>
    </row>
    <row r="650" spans="4:12" ht="15.75" customHeight="1">
      <c r="D650" s="61"/>
      <c r="F650" s="2"/>
      <c r="G650" s="2"/>
      <c r="H650" s="2"/>
      <c r="L650" s="62"/>
    </row>
    <row r="651" spans="4:12" ht="15.75" customHeight="1">
      <c r="D651" s="61"/>
      <c r="F651" s="2"/>
      <c r="G651" s="2"/>
      <c r="H651" s="2"/>
      <c r="L651" s="62"/>
    </row>
    <row r="652" spans="4:12" ht="15.75" customHeight="1">
      <c r="D652" s="61"/>
      <c r="F652" s="2"/>
      <c r="G652" s="2"/>
      <c r="H652" s="2"/>
      <c r="L652" s="62"/>
    </row>
    <row r="653" spans="4:12" ht="15.75" customHeight="1">
      <c r="D653" s="61"/>
      <c r="F653" s="2"/>
      <c r="G653" s="2"/>
      <c r="H653" s="2"/>
      <c r="L653" s="62"/>
    </row>
    <row r="654" spans="4:12" ht="15.75" customHeight="1">
      <c r="D654" s="61"/>
      <c r="F654" s="2"/>
      <c r="G654" s="2"/>
      <c r="H654" s="2"/>
      <c r="L654" s="62"/>
    </row>
    <row r="655" spans="4:12" ht="15.75" customHeight="1">
      <c r="D655" s="61"/>
      <c r="F655" s="2"/>
      <c r="G655" s="2"/>
      <c r="H655" s="2"/>
      <c r="L655" s="62"/>
    </row>
    <row r="656" spans="4:12" ht="15.75" customHeight="1">
      <c r="D656" s="61"/>
      <c r="F656" s="2"/>
      <c r="G656" s="2"/>
      <c r="H656" s="2"/>
      <c r="L656" s="62"/>
    </row>
    <row r="657" spans="4:12" ht="15.75" customHeight="1">
      <c r="D657" s="61"/>
      <c r="F657" s="2"/>
      <c r="G657" s="2"/>
      <c r="H657" s="2"/>
      <c r="L657" s="62"/>
    </row>
    <row r="658" spans="4:12" ht="15.75" customHeight="1">
      <c r="D658" s="61"/>
      <c r="F658" s="2"/>
      <c r="G658" s="2"/>
      <c r="H658" s="2"/>
      <c r="L658" s="62"/>
    </row>
    <row r="659" spans="4:12" ht="15.75" customHeight="1">
      <c r="D659" s="61"/>
      <c r="F659" s="2"/>
      <c r="G659" s="2"/>
      <c r="H659" s="2"/>
      <c r="L659" s="62"/>
    </row>
    <row r="660" spans="4:12" ht="15.75" customHeight="1">
      <c r="D660" s="61"/>
      <c r="F660" s="2"/>
      <c r="G660" s="2"/>
      <c r="H660" s="2"/>
      <c r="L660" s="62"/>
    </row>
    <row r="661" spans="4:12" ht="15.75" customHeight="1">
      <c r="D661" s="61"/>
      <c r="F661" s="2"/>
      <c r="G661" s="2"/>
      <c r="H661" s="2"/>
      <c r="L661" s="62"/>
    </row>
    <row r="662" spans="4:12" ht="15.75" customHeight="1">
      <c r="D662" s="61"/>
      <c r="F662" s="2"/>
      <c r="G662" s="2"/>
      <c r="H662" s="2"/>
      <c r="L662" s="62"/>
    </row>
    <row r="663" spans="4:12" ht="15.75" customHeight="1">
      <c r="D663" s="61"/>
      <c r="F663" s="2"/>
      <c r="G663" s="2"/>
      <c r="H663" s="2"/>
      <c r="L663" s="62"/>
    </row>
    <row r="664" spans="4:12" ht="15.75" customHeight="1">
      <c r="D664" s="61"/>
      <c r="F664" s="2"/>
      <c r="G664" s="2"/>
      <c r="H664" s="2"/>
      <c r="L664" s="62"/>
    </row>
    <row r="665" spans="4:12" ht="15.75" customHeight="1">
      <c r="D665" s="61"/>
      <c r="F665" s="2"/>
      <c r="G665" s="2"/>
      <c r="H665" s="2"/>
      <c r="L665" s="62"/>
    </row>
    <row r="666" spans="4:12" ht="15.75" customHeight="1">
      <c r="D666" s="61"/>
      <c r="F666" s="2"/>
      <c r="G666" s="2"/>
      <c r="H666" s="2"/>
      <c r="L666" s="62"/>
    </row>
    <row r="667" spans="4:12" ht="15.75" customHeight="1">
      <c r="D667" s="61"/>
      <c r="F667" s="2"/>
      <c r="G667" s="2"/>
      <c r="H667" s="2"/>
      <c r="L667" s="62"/>
    </row>
    <row r="668" spans="4:12" ht="15.75" customHeight="1">
      <c r="D668" s="61"/>
      <c r="F668" s="2"/>
      <c r="G668" s="2"/>
      <c r="H668" s="2"/>
      <c r="L668" s="62"/>
    </row>
    <row r="669" spans="4:12" ht="15.75" customHeight="1">
      <c r="D669" s="61"/>
      <c r="F669" s="2"/>
      <c r="G669" s="2"/>
      <c r="H669" s="2"/>
      <c r="L669" s="62"/>
    </row>
    <row r="670" spans="4:12" ht="15.75" customHeight="1">
      <c r="D670" s="61"/>
      <c r="F670" s="2"/>
      <c r="G670" s="2"/>
      <c r="H670" s="2"/>
      <c r="L670" s="62"/>
    </row>
    <row r="671" spans="4:12" ht="15.75" customHeight="1">
      <c r="D671" s="61"/>
      <c r="F671" s="2"/>
      <c r="G671" s="2"/>
      <c r="H671" s="2"/>
      <c r="L671" s="62"/>
    </row>
    <row r="672" spans="4:12" ht="15.75" customHeight="1">
      <c r="D672" s="61"/>
      <c r="F672" s="2"/>
      <c r="G672" s="2"/>
      <c r="H672" s="2"/>
      <c r="L672" s="62"/>
    </row>
    <row r="673" spans="4:12" ht="15.75" customHeight="1">
      <c r="D673" s="61"/>
      <c r="F673" s="2"/>
      <c r="G673" s="2"/>
      <c r="H673" s="2"/>
      <c r="L673" s="62"/>
    </row>
    <row r="674" spans="4:12" ht="15.75" customHeight="1">
      <c r="D674" s="61"/>
      <c r="F674" s="2"/>
      <c r="G674" s="2"/>
      <c r="H674" s="2"/>
      <c r="L674" s="62"/>
    </row>
    <row r="675" spans="4:12" ht="15.75" customHeight="1">
      <c r="D675" s="61"/>
      <c r="F675" s="2"/>
      <c r="G675" s="2"/>
      <c r="H675" s="2"/>
      <c r="L675" s="62"/>
    </row>
    <row r="676" spans="4:12" ht="15.75" customHeight="1">
      <c r="D676" s="61"/>
      <c r="F676" s="2"/>
      <c r="G676" s="2"/>
      <c r="H676" s="2"/>
      <c r="L676" s="62"/>
    </row>
    <row r="677" spans="4:12" ht="15.75" customHeight="1">
      <c r="D677" s="61"/>
      <c r="F677" s="2"/>
      <c r="G677" s="2"/>
      <c r="H677" s="2"/>
      <c r="L677" s="62"/>
    </row>
    <row r="678" spans="4:12" ht="15.75" customHeight="1">
      <c r="D678" s="61"/>
      <c r="F678" s="2"/>
      <c r="G678" s="2"/>
      <c r="H678" s="2"/>
      <c r="L678" s="62"/>
    </row>
    <row r="679" spans="4:12" ht="15.75" customHeight="1">
      <c r="D679" s="61"/>
      <c r="F679" s="2"/>
      <c r="G679" s="2"/>
      <c r="H679" s="2"/>
      <c r="L679" s="62"/>
    </row>
    <row r="680" spans="4:12" ht="15.75" customHeight="1">
      <c r="D680" s="61"/>
      <c r="F680" s="2"/>
      <c r="G680" s="2"/>
      <c r="H680" s="2"/>
      <c r="L680" s="62"/>
    </row>
    <row r="681" spans="4:12" ht="15.75" customHeight="1">
      <c r="D681" s="61"/>
      <c r="F681" s="2"/>
      <c r="G681" s="2"/>
      <c r="H681" s="2"/>
      <c r="L681" s="62"/>
    </row>
    <row r="682" spans="4:12" ht="15.75" customHeight="1">
      <c r="D682" s="61"/>
      <c r="F682" s="2"/>
      <c r="G682" s="2"/>
      <c r="H682" s="2"/>
      <c r="L682" s="62"/>
    </row>
    <row r="683" spans="4:12" ht="15.75" customHeight="1">
      <c r="D683" s="61"/>
      <c r="F683" s="2"/>
      <c r="G683" s="2"/>
      <c r="H683" s="2"/>
      <c r="L683" s="62"/>
    </row>
    <row r="684" spans="4:12" ht="15.75" customHeight="1">
      <c r="D684" s="61"/>
      <c r="F684" s="2"/>
      <c r="G684" s="2"/>
      <c r="H684" s="2"/>
      <c r="L684" s="62"/>
    </row>
    <row r="685" spans="4:12" ht="15.75" customHeight="1">
      <c r="D685" s="61"/>
      <c r="F685" s="2"/>
      <c r="G685" s="2"/>
      <c r="H685" s="2"/>
      <c r="L685" s="62"/>
    </row>
    <row r="686" spans="4:12" ht="15.75" customHeight="1">
      <c r="D686" s="61"/>
      <c r="F686" s="2"/>
      <c r="G686" s="2"/>
      <c r="H686" s="2"/>
      <c r="L686" s="62"/>
    </row>
    <row r="687" spans="4:12" ht="15.75" customHeight="1">
      <c r="D687" s="61"/>
      <c r="F687" s="2"/>
      <c r="G687" s="2"/>
      <c r="H687" s="2"/>
      <c r="L687" s="62"/>
    </row>
    <row r="688" spans="4:12" ht="15.75" customHeight="1">
      <c r="D688" s="61"/>
      <c r="F688" s="2"/>
      <c r="G688" s="2"/>
      <c r="H688" s="2"/>
      <c r="L688" s="62"/>
    </row>
    <row r="689" spans="4:12" ht="15.75" customHeight="1">
      <c r="D689" s="61"/>
      <c r="F689" s="2"/>
      <c r="G689" s="2"/>
      <c r="H689" s="2"/>
      <c r="L689" s="62"/>
    </row>
    <row r="690" spans="4:12" ht="15.75" customHeight="1">
      <c r="D690" s="61"/>
      <c r="F690" s="2"/>
      <c r="G690" s="2"/>
      <c r="H690" s="2"/>
      <c r="L690" s="62"/>
    </row>
    <row r="691" spans="4:12" ht="15.75" customHeight="1">
      <c r="D691" s="61"/>
      <c r="F691" s="2"/>
      <c r="G691" s="2"/>
      <c r="H691" s="2"/>
      <c r="L691" s="62"/>
    </row>
    <row r="692" spans="4:12" ht="15.75" customHeight="1">
      <c r="D692" s="61"/>
      <c r="F692" s="2"/>
      <c r="G692" s="2"/>
      <c r="H692" s="2"/>
      <c r="L692" s="62"/>
    </row>
    <row r="693" spans="4:12" ht="15.75" customHeight="1">
      <c r="D693" s="61"/>
      <c r="F693" s="2"/>
      <c r="G693" s="2"/>
      <c r="H693" s="2"/>
      <c r="L693" s="62"/>
    </row>
    <row r="694" spans="4:12" ht="15.75" customHeight="1">
      <c r="D694" s="61"/>
      <c r="F694" s="2"/>
      <c r="G694" s="2"/>
      <c r="H694" s="2"/>
      <c r="L694" s="62"/>
    </row>
    <row r="695" spans="4:12" ht="15.75" customHeight="1">
      <c r="D695" s="61"/>
      <c r="F695" s="2"/>
      <c r="G695" s="2"/>
      <c r="H695" s="2"/>
      <c r="L695" s="62"/>
    </row>
    <row r="696" spans="4:12" ht="15.75" customHeight="1">
      <c r="D696" s="61"/>
      <c r="F696" s="2"/>
      <c r="G696" s="2"/>
      <c r="H696" s="2"/>
      <c r="L696" s="62"/>
    </row>
    <row r="697" spans="4:12" ht="15.75" customHeight="1">
      <c r="D697" s="61"/>
      <c r="F697" s="2"/>
      <c r="G697" s="2"/>
      <c r="H697" s="2"/>
      <c r="L697" s="62"/>
    </row>
    <row r="698" spans="4:12" ht="15.75" customHeight="1">
      <c r="D698" s="61"/>
      <c r="F698" s="2"/>
      <c r="G698" s="2"/>
      <c r="H698" s="2"/>
      <c r="L698" s="62"/>
    </row>
    <row r="699" spans="4:12" ht="15.75" customHeight="1">
      <c r="D699" s="61"/>
      <c r="F699" s="2"/>
      <c r="G699" s="2"/>
      <c r="H699" s="2"/>
      <c r="L699" s="62"/>
    </row>
    <row r="700" spans="4:12" ht="15.75" customHeight="1">
      <c r="D700" s="61"/>
      <c r="F700" s="2"/>
      <c r="G700" s="2"/>
      <c r="H700" s="2"/>
      <c r="L700" s="62"/>
    </row>
    <row r="701" spans="4:12" ht="15.75" customHeight="1">
      <c r="D701" s="61"/>
      <c r="F701" s="2"/>
      <c r="G701" s="2"/>
      <c r="H701" s="2"/>
      <c r="L701" s="62"/>
    </row>
    <row r="702" spans="4:12" ht="15.75" customHeight="1">
      <c r="D702" s="61"/>
      <c r="F702" s="2"/>
      <c r="G702" s="2"/>
      <c r="H702" s="2"/>
      <c r="L702" s="62"/>
    </row>
    <row r="703" spans="4:12" ht="15.75" customHeight="1">
      <c r="D703" s="61"/>
      <c r="F703" s="2"/>
      <c r="G703" s="2"/>
      <c r="H703" s="2"/>
      <c r="L703" s="62"/>
    </row>
    <row r="704" spans="4:12" ht="15.75" customHeight="1">
      <c r="D704" s="61"/>
      <c r="F704" s="2"/>
      <c r="G704" s="2"/>
      <c r="H704" s="2"/>
      <c r="L704" s="62"/>
    </row>
    <row r="705" spans="4:12" ht="15.75" customHeight="1">
      <c r="D705" s="61"/>
      <c r="F705" s="2"/>
      <c r="G705" s="2"/>
      <c r="H705" s="2"/>
      <c r="L705" s="62"/>
    </row>
    <row r="706" spans="4:12" ht="15.75" customHeight="1">
      <c r="D706" s="61"/>
      <c r="F706" s="2"/>
      <c r="G706" s="2"/>
      <c r="H706" s="2"/>
      <c r="L706" s="62"/>
    </row>
    <row r="707" spans="4:12" ht="15.75" customHeight="1">
      <c r="D707" s="61"/>
      <c r="F707" s="2"/>
      <c r="G707" s="2"/>
      <c r="H707" s="2"/>
      <c r="L707" s="62"/>
    </row>
    <row r="708" spans="4:12" ht="15.75" customHeight="1">
      <c r="D708" s="61"/>
      <c r="F708" s="2"/>
      <c r="G708" s="2"/>
      <c r="H708" s="2"/>
      <c r="L708" s="62"/>
    </row>
    <row r="709" spans="4:12" ht="15.75" customHeight="1">
      <c r="D709" s="61"/>
      <c r="F709" s="2"/>
      <c r="G709" s="2"/>
      <c r="H709" s="2"/>
      <c r="L709" s="62"/>
    </row>
    <row r="710" spans="4:12" ht="15.75" customHeight="1">
      <c r="D710" s="61"/>
      <c r="F710" s="2"/>
      <c r="G710" s="2"/>
      <c r="H710" s="2"/>
      <c r="L710" s="62"/>
    </row>
    <row r="711" spans="4:12" ht="15.75" customHeight="1">
      <c r="D711" s="61"/>
      <c r="F711" s="2"/>
      <c r="G711" s="2"/>
      <c r="H711" s="2"/>
      <c r="L711" s="62"/>
    </row>
    <row r="712" spans="4:12" ht="15.75" customHeight="1">
      <c r="D712" s="61"/>
      <c r="F712" s="2"/>
      <c r="G712" s="2"/>
      <c r="H712" s="2"/>
      <c r="L712" s="62"/>
    </row>
    <row r="713" spans="4:12" ht="15.75" customHeight="1">
      <c r="D713" s="61"/>
      <c r="F713" s="2"/>
      <c r="G713" s="2"/>
      <c r="H713" s="2"/>
      <c r="L713" s="62"/>
    </row>
    <row r="714" spans="4:12" ht="15.75" customHeight="1">
      <c r="D714" s="61"/>
      <c r="F714" s="2"/>
      <c r="G714" s="2"/>
      <c r="H714" s="2"/>
      <c r="L714" s="62"/>
    </row>
    <row r="715" spans="4:12" ht="15.75" customHeight="1">
      <c r="D715" s="61"/>
      <c r="F715" s="2"/>
      <c r="G715" s="2"/>
      <c r="H715" s="2"/>
      <c r="L715" s="62"/>
    </row>
    <row r="716" spans="4:12" ht="15.75" customHeight="1">
      <c r="D716" s="61"/>
      <c r="F716" s="2"/>
      <c r="G716" s="2"/>
      <c r="H716" s="2"/>
      <c r="L716" s="62"/>
    </row>
    <row r="717" spans="4:12" ht="15.75" customHeight="1">
      <c r="D717" s="61"/>
      <c r="F717" s="2"/>
      <c r="G717" s="2"/>
      <c r="H717" s="2"/>
      <c r="L717" s="62"/>
    </row>
    <row r="718" spans="4:12" ht="15.75" customHeight="1">
      <c r="D718" s="61"/>
      <c r="F718" s="2"/>
      <c r="G718" s="2"/>
      <c r="H718" s="2"/>
      <c r="L718" s="62"/>
    </row>
    <row r="719" spans="4:12" ht="15.75" customHeight="1">
      <c r="D719" s="61"/>
      <c r="F719" s="2"/>
      <c r="G719" s="2"/>
      <c r="H719" s="2"/>
      <c r="L719" s="62"/>
    </row>
    <row r="720" spans="4:12" ht="15.75" customHeight="1">
      <c r="D720" s="61"/>
      <c r="F720" s="2"/>
      <c r="G720" s="2"/>
      <c r="H720" s="2"/>
      <c r="L720" s="62"/>
    </row>
    <row r="721" spans="4:12" ht="15.75" customHeight="1">
      <c r="D721" s="61"/>
      <c r="F721" s="2"/>
      <c r="G721" s="2"/>
      <c r="H721" s="2"/>
      <c r="L721" s="62"/>
    </row>
    <row r="722" spans="4:12" ht="15.75" customHeight="1">
      <c r="D722" s="61"/>
      <c r="F722" s="2"/>
      <c r="G722" s="2"/>
      <c r="H722" s="2"/>
      <c r="L722" s="62"/>
    </row>
    <row r="723" spans="4:12" ht="15.75" customHeight="1">
      <c r="D723" s="61"/>
      <c r="F723" s="2"/>
      <c r="G723" s="2"/>
      <c r="H723" s="2"/>
      <c r="L723" s="62"/>
    </row>
    <row r="724" spans="4:12" ht="15.75" customHeight="1">
      <c r="D724" s="61"/>
      <c r="F724" s="2"/>
      <c r="G724" s="2"/>
      <c r="H724" s="2"/>
      <c r="L724" s="62"/>
    </row>
    <row r="725" spans="4:12" ht="15.75" customHeight="1">
      <c r="D725" s="61"/>
      <c r="F725" s="2"/>
      <c r="G725" s="2"/>
      <c r="H725" s="2"/>
      <c r="L725" s="62"/>
    </row>
    <row r="726" spans="4:12" ht="15.75" customHeight="1">
      <c r="D726" s="61"/>
      <c r="F726" s="2"/>
      <c r="G726" s="2"/>
      <c r="H726" s="2"/>
      <c r="L726" s="62"/>
    </row>
    <row r="727" spans="4:12" ht="15.75" customHeight="1">
      <c r="D727" s="61"/>
      <c r="F727" s="2"/>
      <c r="G727" s="2"/>
      <c r="H727" s="2"/>
      <c r="L727" s="62"/>
    </row>
    <row r="728" spans="4:12" ht="15.75" customHeight="1">
      <c r="D728" s="61"/>
      <c r="F728" s="2"/>
      <c r="G728" s="2"/>
      <c r="H728" s="2"/>
      <c r="L728" s="62"/>
    </row>
    <row r="729" spans="4:12" ht="15.75" customHeight="1">
      <c r="D729" s="61"/>
      <c r="F729" s="2"/>
      <c r="G729" s="2"/>
      <c r="H729" s="2"/>
      <c r="L729" s="62"/>
    </row>
    <row r="730" spans="4:12" ht="15.75" customHeight="1">
      <c r="D730" s="61"/>
      <c r="F730" s="2"/>
      <c r="G730" s="2"/>
      <c r="H730" s="2"/>
      <c r="L730" s="62"/>
    </row>
    <row r="731" spans="4:12" ht="15.75" customHeight="1">
      <c r="D731" s="61"/>
      <c r="F731" s="2"/>
      <c r="G731" s="2"/>
      <c r="H731" s="2"/>
      <c r="L731" s="62"/>
    </row>
    <row r="732" spans="4:12" ht="15.75" customHeight="1">
      <c r="D732" s="61"/>
      <c r="F732" s="2"/>
      <c r="G732" s="2"/>
      <c r="H732" s="2"/>
      <c r="L732" s="62"/>
    </row>
    <row r="733" spans="4:12" ht="15.75" customHeight="1">
      <c r="D733" s="61"/>
      <c r="F733" s="2"/>
      <c r="G733" s="2"/>
      <c r="H733" s="2"/>
      <c r="L733" s="62"/>
    </row>
    <row r="734" spans="4:12" ht="15.75" customHeight="1">
      <c r="D734" s="61"/>
      <c r="F734" s="2"/>
      <c r="G734" s="2"/>
      <c r="H734" s="2"/>
      <c r="L734" s="62"/>
    </row>
    <row r="735" spans="4:12" ht="15.75" customHeight="1">
      <c r="D735" s="61"/>
      <c r="F735" s="2"/>
      <c r="G735" s="2"/>
      <c r="H735" s="2"/>
      <c r="L735" s="62"/>
    </row>
    <row r="736" spans="4:12" ht="15.75" customHeight="1">
      <c r="D736" s="61"/>
      <c r="F736" s="2"/>
      <c r="G736" s="2"/>
      <c r="H736" s="2"/>
      <c r="L736" s="62"/>
    </row>
    <row r="737" spans="4:12" ht="15.75" customHeight="1">
      <c r="D737" s="61"/>
      <c r="F737" s="2"/>
      <c r="G737" s="2"/>
      <c r="H737" s="2"/>
      <c r="L737" s="62"/>
    </row>
    <row r="738" spans="4:12" ht="15.75" customHeight="1">
      <c r="D738" s="61"/>
      <c r="F738" s="2"/>
      <c r="G738" s="2"/>
      <c r="H738" s="2"/>
      <c r="L738" s="62"/>
    </row>
    <row r="739" spans="4:12" ht="15.75" customHeight="1">
      <c r="D739" s="61"/>
      <c r="F739" s="2"/>
      <c r="G739" s="2"/>
      <c r="H739" s="2"/>
      <c r="L739" s="62"/>
    </row>
    <row r="740" spans="4:12" ht="15.75" customHeight="1">
      <c r="D740" s="61"/>
      <c r="F740" s="2"/>
      <c r="G740" s="2"/>
      <c r="H740" s="2"/>
      <c r="L740" s="62"/>
    </row>
    <row r="741" spans="4:12" ht="15.75" customHeight="1">
      <c r="D741" s="61"/>
      <c r="F741" s="2"/>
      <c r="G741" s="2"/>
      <c r="H741" s="2"/>
      <c r="L741" s="62"/>
    </row>
    <row r="742" spans="4:12" ht="15.75" customHeight="1">
      <c r="D742" s="61"/>
      <c r="F742" s="2"/>
      <c r="G742" s="2"/>
      <c r="H742" s="2"/>
      <c r="L742" s="62"/>
    </row>
    <row r="743" spans="4:12" ht="15.75" customHeight="1">
      <c r="D743" s="61"/>
      <c r="F743" s="2"/>
      <c r="G743" s="2"/>
      <c r="H743" s="2"/>
      <c r="L743" s="62"/>
    </row>
    <row r="744" spans="4:12" ht="15.75" customHeight="1">
      <c r="D744" s="61"/>
      <c r="F744" s="2"/>
      <c r="G744" s="2"/>
      <c r="H744" s="2"/>
      <c r="L744" s="62"/>
    </row>
    <row r="745" spans="4:12" ht="15.75" customHeight="1">
      <c r="D745" s="61"/>
      <c r="F745" s="2"/>
      <c r="G745" s="2"/>
      <c r="H745" s="2"/>
      <c r="L745" s="62"/>
    </row>
    <row r="746" spans="4:12" ht="15.75" customHeight="1">
      <c r="D746" s="61"/>
      <c r="F746" s="2"/>
      <c r="G746" s="2"/>
      <c r="H746" s="2"/>
      <c r="L746" s="62"/>
    </row>
    <row r="747" spans="4:12" ht="15.75" customHeight="1">
      <c r="D747" s="61"/>
      <c r="F747" s="2"/>
      <c r="G747" s="2"/>
      <c r="H747" s="2"/>
      <c r="L747" s="62"/>
    </row>
    <row r="748" spans="4:12" ht="15.75" customHeight="1">
      <c r="D748" s="61"/>
      <c r="F748" s="2"/>
      <c r="G748" s="2"/>
      <c r="H748" s="2"/>
      <c r="L748" s="62"/>
    </row>
    <row r="749" spans="4:12" ht="15.75" customHeight="1">
      <c r="D749" s="61"/>
      <c r="F749" s="2"/>
      <c r="G749" s="2"/>
      <c r="H749" s="2"/>
      <c r="L749" s="62"/>
    </row>
    <row r="750" spans="4:12" ht="15.75" customHeight="1">
      <c r="D750" s="61"/>
      <c r="F750" s="2"/>
      <c r="G750" s="2"/>
      <c r="H750" s="2"/>
      <c r="L750" s="62"/>
    </row>
    <row r="751" spans="4:12" ht="15.75" customHeight="1">
      <c r="D751" s="61"/>
      <c r="F751" s="2"/>
      <c r="G751" s="2"/>
      <c r="H751" s="2"/>
      <c r="L751" s="62"/>
    </row>
    <row r="752" spans="4:12" ht="15.75" customHeight="1">
      <c r="D752" s="61"/>
      <c r="F752" s="2"/>
      <c r="G752" s="2"/>
      <c r="H752" s="2"/>
      <c r="L752" s="62"/>
    </row>
    <row r="753" spans="4:12" ht="15.75" customHeight="1">
      <c r="D753" s="61"/>
      <c r="F753" s="2"/>
      <c r="G753" s="2"/>
      <c r="H753" s="2"/>
      <c r="L753" s="62"/>
    </row>
    <row r="754" spans="4:12" ht="15.75" customHeight="1">
      <c r="D754" s="61"/>
      <c r="F754" s="2"/>
      <c r="G754" s="2"/>
      <c r="H754" s="2"/>
      <c r="L754" s="62"/>
    </row>
    <row r="755" spans="4:12" ht="15.75" customHeight="1">
      <c r="D755" s="61"/>
      <c r="F755" s="2"/>
      <c r="G755" s="2"/>
      <c r="H755" s="2"/>
      <c r="L755" s="62"/>
    </row>
    <row r="756" spans="4:12" ht="15.75" customHeight="1">
      <c r="D756" s="61"/>
      <c r="F756" s="2"/>
      <c r="G756" s="2"/>
      <c r="H756" s="2"/>
      <c r="L756" s="62"/>
    </row>
    <row r="757" spans="4:12" ht="15.75" customHeight="1">
      <c r="D757" s="61"/>
      <c r="F757" s="2"/>
      <c r="G757" s="2"/>
      <c r="H757" s="2"/>
      <c r="L757" s="62"/>
    </row>
    <row r="758" spans="4:12" ht="15.75" customHeight="1">
      <c r="D758" s="61"/>
      <c r="F758" s="2"/>
      <c r="G758" s="2"/>
      <c r="H758" s="2"/>
      <c r="L758" s="62"/>
    </row>
    <row r="759" spans="4:12" ht="15.75" customHeight="1">
      <c r="D759" s="61"/>
      <c r="F759" s="2"/>
      <c r="G759" s="2"/>
      <c r="H759" s="2"/>
      <c r="L759" s="62"/>
    </row>
    <row r="760" spans="4:12" ht="15.75" customHeight="1">
      <c r="D760" s="61"/>
      <c r="F760" s="2"/>
      <c r="G760" s="2"/>
      <c r="H760" s="2"/>
      <c r="L760" s="62"/>
    </row>
    <row r="761" spans="4:12" ht="15.75" customHeight="1">
      <c r="D761" s="61"/>
      <c r="F761" s="2"/>
      <c r="G761" s="2"/>
      <c r="H761" s="2"/>
      <c r="L761" s="62"/>
    </row>
    <row r="762" spans="4:12" ht="15.75" customHeight="1">
      <c r="D762" s="61"/>
      <c r="F762" s="2"/>
      <c r="G762" s="2"/>
      <c r="H762" s="2"/>
      <c r="L762" s="62"/>
    </row>
    <row r="763" spans="4:12" ht="15.75" customHeight="1">
      <c r="D763" s="61"/>
      <c r="F763" s="2"/>
      <c r="G763" s="2"/>
      <c r="H763" s="2"/>
      <c r="L763" s="62"/>
    </row>
    <row r="764" spans="4:12" ht="15.75" customHeight="1">
      <c r="D764" s="61"/>
      <c r="F764" s="2"/>
      <c r="G764" s="2"/>
      <c r="H764" s="2"/>
      <c r="L764" s="62"/>
    </row>
    <row r="765" spans="4:12" ht="15.75" customHeight="1">
      <c r="D765" s="61"/>
      <c r="F765" s="2"/>
      <c r="G765" s="2"/>
      <c r="H765" s="2"/>
      <c r="L765" s="62"/>
    </row>
    <row r="766" spans="4:12" ht="15.75" customHeight="1">
      <c r="D766" s="61"/>
      <c r="F766" s="2"/>
      <c r="G766" s="2"/>
      <c r="H766" s="2"/>
      <c r="L766" s="62"/>
    </row>
    <row r="767" spans="4:12" ht="15.75" customHeight="1">
      <c r="D767" s="61"/>
      <c r="F767" s="2"/>
      <c r="G767" s="2"/>
      <c r="H767" s="2"/>
      <c r="L767" s="62"/>
    </row>
    <row r="768" spans="4:12" ht="15.75" customHeight="1">
      <c r="D768" s="61"/>
      <c r="F768" s="2"/>
      <c r="G768" s="2"/>
      <c r="H768" s="2"/>
      <c r="L768" s="62"/>
    </row>
    <row r="769" spans="4:12" ht="15.75" customHeight="1">
      <c r="D769" s="61"/>
      <c r="F769" s="2"/>
      <c r="G769" s="2"/>
      <c r="H769" s="2"/>
      <c r="L769" s="62"/>
    </row>
    <row r="770" spans="4:12" ht="15.75" customHeight="1">
      <c r="D770" s="61"/>
      <c r="F770" s="2"/>
      <c r="G770" s="2"/>
      <c r="H770" s="2"/>
      <c r="L770" s="62"/>
    </row>
    <row r="771" spans="4:12" ht="15.75" customHeight="1">
      <c r="D771" s="61"/>
      <c r="F771" s="2"/>
      <c r="G771" s="2"/>
      <c r="H771" s="2"/>
      <c r="L771" s="62"/>
    </row>
    <row r="772" spans="4:12" ht="15.75" customHeight="1">
      <c r="D772" s="61"/>
      <c r="F772" s="2"/>
      <c r="G772" s="2"/>
      <c r="H772" s="2"/>
      <c r="L772" s="62"/>
    </row>
    <row r="773" spans="4:12" ht="15.75" customHeight="1">
      <c r="D773" s="61"/>
      <c r="F773" s="2"/>
      <c r="G773" s="2"/>
      <c r="H773" s="2"/>
      <c r="L773" s="62"/>
    </row>
    <row r="774" spans="4:12" ht="15.75" customHeight="1">
      <c r="D774" s="61"/>
      <c r="F774" s="2"/>
      <c r="G774" s="2"/>
      <c r="H774" s="2"/>
      <c r="L774" s="62"/>
    </row>
    <row r="775" spans="4:12" ht="15.75" customHeight="1">
      <c r="D775" s="61"/>
      <c r="F775" s="2"/>
      <c r="G775" s="2"/>
      <c r="H775" s="2"/>
      <c r="L775" s="62"/>
    </row>
    <row r="776" spans="4:12" ht="15.75" customHeight="1">
      <c r="D776" s="61"/>
      <c r="F776" s="2"/>
      <c r="G776" s="2"/>
      <c r="H776" s="2"/>
      <c r="L776" s="62"/>
    </row>
    <row r="777" spans="4:12" ht="15.75" customHeight="1">
      <c r="D777" s="61"/>
      <c r="F777" s="2"/>
      <c r="G777" s="2"/>
      <c r="H777" s="2"/>
      <c r="L777" s="62"/>
    </row>
    <row r="778" spans="4:12" ht="15.75" customHeight="1">
      <c r="D778" s="61"/>
      <c r="F778" s="2"/>
      <c r="G778" s="2"/>
      <c r="H778" s="2"/>
      <c r="L778" s="62"/>
    </row>
    <row r="779" spans="4:12" ht="15.75" customHeight="1">
      <c r="D779" s="61"/>
      <c r="F779" s="2"/>
      <c r="G779" s="2"/>
      <c r="H779" s="2"/>
      <c r="L779" s="62"/>
    </row>
    <row r="780" spans="4:12" ht="15.75" customHeight="1">
      <c r="D780" s="61"/>
      <c r="F780" s="2"/>
      <c r="G780" s="2"/>
      <c r="H780" s="2"/>
      <c r="L780" s="62"/>
    </row>
    <row r="781" spans="4:12" ht="15.75" customHeight="1">
      <c r="D781" s="61"/>
      <c r="F781" s="2"/>
      <c r="G781" s="2"/>
      <c r="H781" s="2"/>
      <c r="L781" s="62"/>
    </row>
    <row r="782" spans="4:12" ht="15.75" customHeight="1">
      <c r="D782" s="61"/>
      <c r="F782" s="2"/>
      <c r="G782" s="2"/>
      <c r="H782" s="2"/>
      <c r="L782" s="62"/>
    </row>
    <row r="783" spans="4:12" ht="15.75" customHeight="1">
      <c r="D783" s="61"/>
      <c r="F783" s="2"/>
      <c r="G783" s="2"/>
      <c r="H783" s="2"/>
      <c r="L783" s="62"/>
    </row>
    <row r="784" spans="4:12" ht="15.75" customHeight="1">
      <c r="D784" s="61"/>
      <c r="F784" s="2"/>
      <c r="G784" s="2"/>
      <c r="H784" s="2"/>
      <c r="L784" s="62"/>
    </row>
    <row r="785" spans="4:12" ht="15.75" customHeight="1">
      <c r="D785" s="61"/>
      <c r="F785" s="2"/>
      <c r="G785" s="2"/>
      <c r="H785" s="2"/>
      <c r="L785" s="62"/>
    </row>
    <row r="786" spans="4:12" ht="15.75" customHeight="1">
      <c r="D786" s="61"/>
      <c r="F786" s="2"/>
      <c r="G786" s="2"/>
      <c r="H786" s="2"/>
      <c r="L786" s="62"/>
    </row>
    <row r="787" spans="4:12" ht="15.75" customHeight="1">
      <c r="D787" s="61"/>
      <c r="F787" s="2"/>
      <c r="G787" s="2"/>
      <c r="H787" s="2"/>
      <c r="L787" s="62"/>
    </row>
    <row r="788" spans="4:12" ht="15.75" customHeight="1">
      <c r="D788" s="61"/>
      <c r="F788" s="2"/>
      <c r="G788" s="2"/>
      <c r="H788" s="2"/>
      <c r="L788" s="62"/>
    </row>
    <row r="789" spans="4:12" ht="15.75" customHeight="1">
      <c r="D789" s="61"/>
      <c r="F789" s="2"/>
      <c r="G789" s="2"/>
      <c r="H789" s="2"/>
      <c r="L789" s="62"/>
    </row>
    <row r="790" spans="4:12" ht="15.75" customHeight="1">
      <c r="D790" s="61"/>
      <c r="F790" s="2"/>
      <c r="G790" s="2"/>
      <c r="H790" s="2"/>
      <c r="L790" s="62"/>
    </row>
    <row r="791" spans="4:12" ht="15.75" customHeight="1">
      <c r="D791" s="61"/>
      <c r="F791" s="2"/>
      <c r="G791" s="2"/>
      <c r="H791" s="2"/>
      <c r="L791" s="62"/>
    </row>
    <row r="792" spans="4:12" ht="15.75" customHeight="1">
      <c r="D792" s="61"/>
      <c r="F792" s="2"/>
      <c r="G792" s="2"/>
      <c r="H792" s="2"/>
      <c r="L792" s="62"/>
    </row>
    <row r="793" spans="4:12" ht="15.75" customHeight="1">
      <c r="D793" s="61"/>
      <c r="F793" s="2"/>
      <c r="G793" s="2"/>
      <c r="H793" s="2"/>
      <c r="L793" s="62"/>
    </row>
    <row r="794" spans="4:12" ht="15.75" customHeight="1">
      <c r="D794" s="61"/>
      <c r="F794" s="2"/>
      <c r="G794" s="2"/>
      <c r="H794" s="2"/>
      <c r="L794" s="62"/>
    </row>
    <row r="795" spans="4:12" ht="15.75" customHeight="1">
      <c r="D795" s="61"/>
      <c r="F795" s="2"/>
      <c r="G795" s="2"/>
      <c r="H795" s="2"/>
      <c r="L795" s="62"/>
    </row>
    <row r="796" spans="4:12" ht="15.75" customHeight="1">
      <c r="D796" s="61"/>
      <c r="F796" s="2"/>
      <c r="G796" s="2"/>
      <c r="H796" s="2"/>
      <c r="L796" s="62"/>
    </row>
    <row r="797" spans="4:12" ht="15.75" customHeight="1">
      <c r="D797" s="61"/>
      <c r="F797" s="2"/>
      <c r="G797" s="2"/>
      <c r="H797" s="2"/>
      <c r="L797" s="62"/>
    </row>
    <row r="798" spans="4:12" ht="15.75" customHeight="1">
      <c r="D798" s="61"/>
      <c r="F798" s="2"/>
      <c r="G798" s="2"/>
      <c r="H798" s="2"/>
      <c r="L798" s="62"/>
    </row>
    <row r="799" spans="4:12" ht="15.75" customHeight="1">
      <c r="D799" s="61"/>
      <c r="F799" s="2"/>
      <c r="G799" s="2"/>
      <c r="H799" s="2"/>
      <c r="L799" s="62"/>
    </row>
    <row r="800" spans="4:12" ht="15.75" customHeight="1">
      <c r="D800" s="61"/>
      <c r="F800" s="2"/>
      <c r="G800" s="2"/>
      <c r="H800" s="2"/>
      <c r="L800" s="62"/>
    </row>
    <row r="801" spans="4:12" ht="15.75" customHeight="1">
      <c r="D801" s="61"/>
      <c r="F801" s="2"/>
      <c r="G801" s="2"/>
      <c r="H801" s="2"/>
      <c r="L801" s="62"/>
    </row>
    <row r="802" spans="4:12" ht="15.75" customHeight="1">
      <c r="D802" s="61"/>
      <c r="F802" s="2"/>
      <c r="G802" s="2"/>
      <c r="H802" s="2"/>
      <c r="L802" s="62"/>
    </row>
    <row r="803" spans="4:12" ht="15.75" customHeight="1">
      <c r="D803" s="61"/>
      <c r="F803" s="2"/>
      <c r="G803" s="2"/>
      <c r="H803" s="2"/>
      <c r="L803" s="62"/>
    </row>
    <row r="804" spans="4:12" ht="15.75" customHeight="1">
      <c r="D804" s="61"/>
      <c r="F804" s="2"/>
      <c r="G804" s="2"/>
      <c r="H804" s="2"/>
      <c r="L804" s="62"/>
    </row>
    <row r="805" spans="4:12" ht="15.75" customHeight="1">
      <c r="D805" s="61"/>
      <c r="F805" s="2"/>
      <c r="G805" s="2"/>
      <c r="H805" s="2"/>
      <c r="L805" s="62"/>
    </row>
    <row r="806" spans="4:12" ht="15.75" customHeight="1">
      <c r="D806" s="61"/>
      <c r="F806" s="2"/>
      <c r="G806" s="2"/>
      <c r="H806" s="2"/>
      <c r="L806" s="62"/>
    </row>
    <row r="807" spans="4:12" ht="15.75" customHeight="1">
      <c r="D807" s="61"/>
      <c r="F807" s="2"/>
      <c r="G807" s="2"/>
      <c r="H807" s="2"/>
      <c r="L807" s="62"/>
    </row>
    <row r="808" spans="4:12" ht="15.75" customHeight="1">
      <c r="D808" s="61"/>
      <c r="F808" s="2"/>
      <c r="G808" s="2"/>
      <c r="H808" s="2"/>
      <c r="L808" s="62"/>
    </row>
    <row r="809" spans="4:12" ht="15.75" customHeight="1">
      <c r="D809" s="61"/>
      <c r="F809" s="2"/>
      <c r="G809" s="2"/>
      <c r="H809" s="2"/>
      <c r="L809" s="62"/>
    </row>
    <row r="810" spans="4:12" ht="15.75" customHeight="1">
      <c r="D810" s="61"/>
      <c r="F810" s="2"/>
      <c r="G810" s="2"/>
      <c r="H810" s="2"/>
      <c r="L810" s="62"/>
    </row>
    <row r="811" spans="4:12" ht="15.75" customHeight="1">
      <c r="D811" s="61"/>
      <c r="F811" s="2"/>
      <c r="G811" s="2"/>
      <c r="H811" s="2"/>
      <c r="L811" s="62"/>
    </row>
    <row r="812" spans="4:12" ht="15.75" customHeight="1">
      <c r="D812" s="61"/>
      <c r="F812" s="2"/>
      <c r="G812" s="2"/>
      <c r="H812" s="2"/>
      <c r="L812" s="62"/>
    </row>
    <row r="813" spans="4:12" ht="15.75" customHeight="1">
      <c r="D813" s="61"/>
      <c r="F813" s="2"/>
      <c r="G813" s="2"/>
      <c r="H813" s="2"/>
      <c r="L813" s="62"/>
    </row>
    <row r="814" spans="4:12" ht="15.75" customHeight="1">
      <c r="D814" s="61"/>
      <c r="F814" s="2"/>
      <c r="G814" s="2"/>
      <c r="H814" s="2"/>
      <c r="L814" s="62"/>
    </row>
    <row r="815" spans="4:12" ht="15.75" customHeight="1">
      <c r="D815" s="61"/>
      <c r="F815" s="2"/>
      <c r="G815" s="2"/>
      <c r="H815" s="2"/>
      <c r="L815" s="62"/>
    </row>
    <row r="816" spans="4:12" ht="15.75" customHeight="1">
      <c r="D816" s="61"/>
      <c r="F816" s="2"/>
      <c r="G816" s="2"/>
      <c r="H816" s="2"/>
      <c r="L816" s="62"/>
    </row>
    <row r="817" spans="4:12" ht="15.75" customHeight="1">
      <c r="D817" s="61"/>
      <c r="F817" s="2"/>
      <c r="G817" s="2"/>
      <c r="H817" s="2"/>
      <c r="L817" s="62"/>
    </row>
    <row r="818" spans="4:12" ht="15.75" customHeight="1">
      <c r="D818" s="61"/>
      <c r="F818" s="2"/>
      <c r="G818" s="2"/>
      <c r="H818" s="2"/>
      <c r="L818" s="62"/>
    </row>
    <row r="819" spans="4:12" ht="15.75" customHeight="1">
      <c r="D819" s="61"/>
      <c r="F819" s="2"/>
      <c r="G819" s="2"/>
      <c r="H819" s="2"/>
      <c r="L819" s="62"/>
    </row>
    <row r="820" spans="4:12" ht="15.75" customHeight="1">
      <c r="D820" s="61"/>
      <c r="F820" s="2"/>
      <c r="G820" s="2"/>
      <c r="H820" s="2"/>
      <c r="L820" s="62"/>
    </row>
    <row r="821" spans="4:12" ht="15.75" customHeight="1">
      <c r="D821" s="61"/>
      <c r="F821" s="2"/>
      <c r="G821" s="2"/>
      <c r="H821" s="2"/>
      <c r="L821" s="62"/>
    </row>
    <row r="822" spans="4:12" ht="15.75" customHeight="1">
      <c r="D822" s="61"/>
      <c r="F822" s="2"/>
      <c r="G822" s="2"/>
      <c r="H822" s="2"/>
      <c r="L822" s="62"/>
    </row>
    <row r="823" spans="4:12" ht="15.75" customHeight="1">
      <c r="D823" s="61"/>
      <c r="F823" s="2"/>
      <c r="G823" s="2"/>
      <c r="H823" s="2"/>
      <c r="L823" s="62"/>
    </row>
    <row r="824" spans="4:12" ht="15.75" customHeight="1">
      <c r="D824" s="61"/>
      <c r="F824" s="2"/>
      <c r="G824" s="2"/>
      <c r="H824" s="2"/>
      <c r="L824" s="62"/>
    </row>
    <row r="825" spans="4:12" ht="15.75" customHeight="1">
      <c r="D825" s="61"/>
      <c r="F825" s="2"/>
      <c r="G825" s="2"/>
      <c r="H825" s="2"/>
      <c r="L825" s="62"/>
    </row>
    <row r="826" spans="4:12" ht="15.75" customHeight="1">
      <c r="D826" s="61"/>
      <c r="F826" s="2"/>
      <c r="G826" s="2"/>
      <c r="H826" s="2"/>
      <c r="L826" s="62"/>
    </row>
    <row r="827" spans="4:12" ht="15.75" customHeight="1">
      <c r="D827" s="61"/>
      <c r="F827" s="2"/>
      <c r="G827" s="2"/>
      <c r="H827" s="2"/>
      <c r="L827" s="62"/>
    </row>
    <row r="828" spans="4:12" ht="15.75" customHeight="1">
      <c r="D828" s="61"/>
      <c r="F828" s="2"/>
      <c r="G828" s="2"/>
      <c r="H828" s="2"/>
      <c r="L828" s="62"/>
    </row>
    <row r="829" spans="4:12" ht="15.75" customHeight="1">
      <c r="D829" s="61"/>
      <c r="F829" s="2"/>
      <c r="G829" s="2"/>
      <c r="H829" s="2"/>
      <c r="L829" s="62"/>
    </row>
    <row r="830" spans="4:12" ht="15.75" customHeight="1">
      <c r="D830" s="61"/>
      <c r="F830" s="2"/>
      <c r="G830" s="2"/>
      <c r="H830" s="2"/>
      <c r="L830" s="62"/>
    </row>
    <row r="831" spans="4:12" ht="15.75" customHeight="1">
      <c r="D831" s="61"/>
      <c r="F831" s="2"/>
      <c r="G831" s="2"/>
      <c r="H831" s="2"/>
      <c r="L831" s="62"/>
    </row>
    <row r="832" spans="4:12" ht="15.75" customHeight="1">
      <c r="D832" s="61"/>
      <c r="F832" s="2"/>
      <c r="G832" s="2"/>
      <c r="H832" s="2"/>
      <c r="L832" s="62"/>
    </row>
    <row r="833" spans="4:12" ht="15.75" customHeight="1">
      <c r="D833" s="61"/>
      <c r="F833" s="2"/>
      <c r="G833" s="2"/>
      <c r="H833" s="2"/>
      <c r="L833" s="62"/>
    </row>
    <row r="834" spans="4:12" ht="15.75" customHeight="1">
      <c r="D834" s="61"/>
      <c r="F834" s="2"/>
      <c r="G834" s="2"/>
      <c r="H834" s="2"/>
      <c r="L834" s="62"/>
    </row>
    <row r="835" spans="4:12" ht="15.75" customHeight="1">
      <c r="D835" s="61"/>
      <c r="F835" s="2"/>
      <c r="G835" s="2"/>
      <c r="H835" s="2"/>
      <c r="L835" s="62"/>
    </row>
    <row r="836" spans="4:12" ht="15.75" customHeight="1">
      <c r="D836" s="61"/>
      <c r="F836" s="2"/>
      <c r="G836" s="2"/>
      <c r="H836" s="2"/>
      <c r="L836" s="62"/>
    </row>
    <row r="837" spans="4:12" ht="15.75" customHeight="1">
      <c r="D837" s="61"/>
      <c r="F837" s="2"/>
      <c r="G837" s="2"/>
      <c r="H837" s="2"/>
      <c r="L837" s="62"/>
    </row>
    <row r="838" spans="4:12" ht="15.75" customHeight="1">
      <c r="D838" s="61"/>
      <c r="F838" s="2"/>
      <c r="G838" s="2"/>
      <c r="H838" s="2"/>
      <c r="L838" s="62"/>
    </row>
    <row r="839" spans="4:12" ht="15.75" customHeight="1">
      <c r="D839" s="61"/>
      <c r="F839" s="2"/>
      <c r="G839" s="2"/>
      <c r="H839" s="2"/>
      <c r="L839" s="62"/>
    </row>
    <row r="840" spans="4:12" ht="15.75" customHeight="1">
      <c r="D840" s="61"/>
      <c r="F840" s="2"/>
      <c r="G840" s="2"/>
      <c r="H840" s="2"/>
      <c r="L840" s="62"/>
    </row>
    <row r="841" spans="4:12" ht="15.75" customHeight="1">
      <c r="D841" s="61"/>
      <c r="F841" s="2"/>
      <c r="G841" s="2"/>
      <c r="H841" s="2"/>
      <c r="L841" s="62"/>
    </row>
    <row r="842" spans="4:12" ht="15.75" customHeight="1">
      <c r="D842" s="61"/>
      <c r="F842" s="2"/>
      <c r="G842" s="2"/>
      <c r="H842" s="2"/>
      <c r="L842" s="62"/>
    </row>
    <row r="843" spans="4:12" ht="15.75" customHeight="1">
      <c r="D843" s="61"/>
      <c r="F843" s="2"/>
      <c r="G843" s="2"/>
      <c r="H843" s="2"/>
      <c r="L843" s="62"/>
    </row>
    <row r="844" spans="4:12" ht="15.75" customHeight="1">
      <c r="D844" s="61"/>
      <c r="F844" s="2"/>
      <c r="G844" s="2"/>
      <c r="H844" s="2"/>
      <c r="L844" s="62"/>
    </row>
    <row r="845" spans="4:12" ht="15.75" customHeight="1">
      <c r="D845" s="61"/>
      <c r="F845" s="2"/>
      <c r="G845" s="2"/>
      <c r="H845" s="2"/>
      <c r="L845" s="62"/>
    </row>
    <row r="846" spans="4:12" ht="15.75" customHeight="1">
      <c r="D846" s="61"/>
      <c r="F846" s="2"/>
      <c r="G846" s="2"/>
      <c r="H846" s="2"/>
      <c r="L846" s="62"/>
    </row>
    <row r="847" spans="4:12" ht="15.75" customHeight="1">
      <c r="D847" s="61"/>
      <c r="F847" s="2"/>
      <c r="G847" s="2"/>
      <c r="H847" s="2"/>
      <c r="L847" s="62"/>
    </row>
    <row r="848" spans="4:12" ht="15.75" customHeight="1">
      <c r="D848" s="61"/>
      <c r="F848" s="2"/>
      <c r="G848" s="2"/>
      <c r="H848" s="2"/>
      <c r="L848" s="62"/>
    </row>
    <row r="849" spans="4:12" ht="15.75" customHeight="1">
      <c r="D849" s="61"/>
      <c r="F849" s="2"/>
      <c r="G849" s="2"/>
      <c r="H849" s="2"/>
      <c r="L849" s="62"/>
    </row>
    <row r="850" spans="4:12" ht="15.75" customHeight="1">
      <c r="D850" s="61"/>
      <c r="F850" s="2"/>
      <c r="G850" s="2"/>
      <c r="H850" s="2"/>
      <c r="L850" s="62"/>
    </row>
    <row r="851" spans="4:12" ht="15.75" customHeight="1">
      <c r="D851" s="61"/>
      <c r="F851" s="2"/>
      <c r="G851" s="2"/>
      <c r="H851" s="2"/>
      <c r="L851" s="62"/>
    </row>
    <row r="852" spans="4:12" ht="15.75" customHeight="1">
      <c r="D852" s="61"/>
      <c r="F852" s="2"/>
      <c r="G852" s="2"/>
      <c r="H852" s="2"/>
      <c r="L852" s="62"/>
    </row>
    <row r="853" spans="4:12" ht="15.75" customHeight="1">
      <c r="D853" s="61"/>
      <c r="F853" s="2"/>
      <c r="G853" s="2"/>
      <c r="H853" s="2"/>
      <c r="L853" s="62"/>
    </row>
    <row r="854" spans="4:12" ht="15.75" customHeight="1">
      <c r="D854" s="61"/>
      <c r="F854" s="2"/>
      <c r="G854" s="2"/>
      <c r="H854" s="2"/>
      <c r="L854" s="62"/>
    </row>
    <row r="855" spans="4:12" ht="15.75" customHeight="1">
      <c r="D855" s="61"/>
      <c r="F855" s="2"/>
      <c r="G855" s="2"/>
      <c r="H855" s="2"/>
      <c r="L855" s="62"/>
    </row>
    <row r="856" spans="4:12" ht="15.75" customHeight="1">
      <c r="D856" s="61"/>
      <c r="F856" s="2"/>
      <c r="G856" s="2"/>
      <c r="H856" s="2"/>
      <c r="L856" s="62"/>
    </row>
    <row r="857" spans="4:12" ht="15.75" customHeight="1">
      <c r="D857" s="61"/>
      <c r="F857" s="2"/>
      <c r="G857" s="2"/>
      <c r="H857" s="2"/>
      <c r="L857" s="62"/>
    </row>
    <row r="858" spans="4:12" ht="15.75" customHeight="1">
      <c r="D858" s="61"/>
      <c r="F858" s="2"/>
      <c r="G858" s="2"/>
      <c r="H858" s="2"/>
      <c r="L858" s="62"/>
    </row>
    <row r="859" spans="4:12" ht="15.75" customHeight="1">
      <c r="D859" s="61"/>
      <c r="F859" s="2"/>
      <c r="G859" s="2"/>
      <c r="H859" s="2"/>
      <c r="L859" s="62"/>
    </row>
    <row r="860" spans="4:12" ht="15.75" customHeight="1">
      <c r="D860" s="61"/>
      <c r="F860" s="2"/>
      <c r="G860" s="2"/>
      <c r="H860" s="2"/>
      <c r="L860" s="62"/>
    </row>
    <row r="861" spans="4:12" ht="15.75" customHeight="1">
      <c r="D861" s="61"/>
      <c r="F861" s="2"/>
      <c r="G861" s="2"/>
      <c r="H861" s="2"/>
      <c r="L861" s="62"/>
    </row>
    <row r="862" spans="4:12" ht="15.75" customHeight="1">
      <c r="D862" s="61"/>
      <c r="F862" s="2"/>
      <c r="G862" s="2"/>
      <c r="H862" s="2"/>
      <c r="L862" s="62"/>
    </row>
    <row r="863" spans="4:12" ht="15.75" customHeight="1">
      <c r="D863" s="61"/>
      <c r="F863" s="2"/>
      <c r="G863" s="2"/>
      <c r="H863" s="2"/>
      <c r="L863" s="62"/>
    </row>
    <row r="864" spans="4:12" ht="15.75" customHeight="1">
      <c r="D864" s="61"/>
      <c r="F864" s="2"/>
      <c r="G864" s="2"/>
      <c r="H864" s="2"/>
      <c r="L864" s="62"/>
    </row>
    <row r="865" spans="4:12" ht="15.75" customHeight="1">
      <c r="D865" s="61"/>
      <c r="F865" s="2"/>
      <c r="G865" s="2"/>
      <c r="H865" s="2"/>
      <c r="L865" s="62"/>
    </row>
    <row r="866" spans="4:12" ht="15.75" customHeight="1">
      <c r="D866" s="61"/>
      <c r="F866" s="2"/>
      <c r="G866" s="2"/>
      <c r="H866" s="2"/>
      <c r="L866" s="62"/>
    </row>
    <row r="867" spans="4:12" ht="15.75" customHeight="1">
      <c r="D867" s="61"/>
      <c r="F867" s="2"/>
      <c r="G867" s="2"/>
      <c r="H867" s="2"/>
      <c r="L867" s="62"/>
    </row>
    <row r="868" spans="4:12" ht="15.75" customHeight="1">
      <c r="D868" s="61"/>
      <c r="F868" s="2"/>
      <c r="G868" s="2"/>
      <c r="H868" s="2"/>
      <c r="L868" s="62"/>
    </row>
    <row r="869" spans="4:12" ht="15.75" customHeight="1">
      <c r="D869" s="61"/>
      <c r="F869" s="2"/>
      <c r="G869" s="2"/>
      <c r="H869" s="2"/>
      <c r="L869" s="62"/>
    </row>
    <row r="870" spans="4:12" ht="15.75" customHeight="1">
      <c r="D870" s="61"/>
      <c r="F870" s="2"/>
      <c r="G870" s="2"/>
      <c r="H870" s="2"/>
      <c r="L870" s="62"/>
    </row>
    <row r="871" spans="4:12" ht="15.75" customHeight="1">
      <c r="D871" s="61"/>
      <c r="F871" s="2"/>
      <c r="G871" s="2"/>
      <c r="H871" s="2"/>
      <c r="L871" s="62"/>
    </row>
    <row r="872" spans="4:12" ht="15.75" customHeight="1">
      <c r="D872" s="61"/>
      <c r="F872" s="2"/>
      <c r="G872" s="2"/>
      <c r="H872" s="2"/>
      <c r="L872" s="62"/>
    </row>
    <row r="873" spans="4:12" ht="15.75" customHeight="1">
      <c r="D873" s="61"/>
      <c r="F873" s="2"/>
      <c r="G873" s="2"/>
      <c r="H873" s="2"/>
      <c r="L873" s="62"/>
    </row>
    <row r="874" spans="4:12" ht="15.75" customHeight="1">
      <c r="D874" s="61"/>
      <c r="F874" s="2"/>
      <c r="G874" s="2"/>
      <c r="H874" s="2"/>
      <c r="L874" s="62"/>
    </row>
    <row r="875" spans="4:12" ht="15.75" customHeight="1">
      <c r="D875" s="61"/>
      <c r="F875" s="2"/>
      <c r="G875" s="2"/>
      <c r="H875" s="2"/>
      <c r="L875" s="62"/>
    </row>
    <row r="876" spans="4:12" ht="15.75" customHeight="1">
      <c r="D876" s="61"/>
      <c r="F876" s="2"/>
      <c r="G876" s="2"/>
      <c r="H876" s="2"/>
      <c r="L876" s="62"/>
    </row>
    <row r="877" spans="4:12" ht="15.75" customHeight="1">
      <c r="D877" s="61"/>
      <c r="F877" s="2"/>
      <c r="G877" s="2"/>
      <c r="H877" s="2"/>
      <c r="L877" s="62"/>
    </row>
    <row r="878" spans="4:12" ht="15.75" customHeight="1">
      <c r="D878" s="61"/>
      <c r="F878" s="2"/>
      <c r="G878" s="2"/>
      <c r="H878" s="2"/>
      <c r="L878" s="62"/>
    </row>
    <row r="879" spans="4:12" ht="15.75" customHeight="1">
      <c r="D879" s="61"/>
      <c r="F879" s="2"/>
      <c r="G879" s="2"/>
      <c r="H879" s="2"/>
      <c r="L879" s="62"/>
    </row>
    <row r="880" spans="4:12" ht="15.75" customHeight="1">
      <c r="D880" s="61"/>
      <c r="F880" s="2"/>
      <c r="G880" s="2"/>
      <c r="H880" s="2"/>
      <c r="L880" s="62"/>
    </row>
    <row r="881" spans="4:12" ht="15.75" customHeight="1">
      <c r="D881" s="61"/>
      <c r="F881" s="2"/>
      <c r="G881" s="2"/>
      <c r="H881" s="2"/>
      <c r="L881" s="62"/>
    </row>
    <row r="882" spans="4:12" ht="15.75" customHeight="1">
      <c r="D882" s="61"/>
      <c r="F882" s="2"/>
      <c r="G882" s="2"/>
      <c r="H882" s="2"/>
      <c r="L882" s="62"/>
    </row>
    <row r="883" spans="4:12" ht="15.75" customHeight="1">
      <c r="D883" s="61"/>
      <c r="F883" s="2"/>
      <c r="G883" s="2"/>
      <c r="H883" s="2"/>
      <c r="L883" s="62"/>
    </row>
    <row r="884" spans="4:12" ht="15.75" customHeight="1">
      <c r="D884" s="61"/>
      <c r="F884" s="2"/>
      <c r="G884" s="2"/>
      <c r="H884" s="2"/>
      <c r="L884" s="62"/>
    </row>
    <row r="885" spans="4:12" ht="15.75" customHeight="1">
      <c r="D885" s="61"/>
      <c r="F885" s="2"/>
      <c r="G885" s="2"/>
      <c r="H885" s="2"/>
      <c r="L885" s="62"/>
    </row>
    <row r="886" spans="4:12" ht="15.75" customHeight="1">
      <c r="D886" s="61"/>
      <c r="F886" s="2"/>
      <c r="G886" s="2"/>
      <c r="H886" s="2"/>
      <c r="L886" s="62"/>
    </row>
    <row r="887" spans="4:12" ht="15.75" customHeight="1">
      <c r="D887" s="61"/>
      <c r="F887" s="2"/>
      <c r="G887" s="2"/>
      <c r="H887" s="2"/>
      <c r="L887" s="62"/>
    </row>
    <row r="888" spans="4:12" ht="15.75" customHeight="1">
      <c r="D888" s="61"/>
      <c r="F888" s="2"/>
      <c r="G888" s="2"/>
      <c r="H888" s="2"/>
      <c r="L888" s="62"/>
    </row>
    <row r="889" spans="4:12" ht="15.75" customHeight="1">
      <c r="D889" s="61"/>
      <c r="F889" s="2"/>
      <c r="G889" s="2"/>
      <c r="H889" s="2"/>
      <c r="L889" s="62"/>
    </row>
    <row r="890" spans="4:12" ht="15.75" customHeight="1">
      <c r="D890" s="61"/>
      <c r="F890" s="2"/>
      <c r="G890" s="2"/>
      <c r="H890" s="2"/>
      <c r="L890" s="62"/>
    </row>
    <row r="891" spans="4:12" ht="15.75" customHeight="1">
      <c r="D891" s="61"/>
      <c r="F891" s="2"/>
      <c r="G891" s="2"/>
      <c r="H891" s="2"/>
      <c r="L891" s="62"/>
    </row>
    <row r="892" spans="4:12" ht="15.75" customHeight="1">
      <c r="D892" s="61"/>
      <c r="F892" s="2"/>
      <c r="G892" s="2"/>
      <c r="H892" s="2"/>
      <c r="L892" s="62"/>
    </row>
    <row r="893" spans="4:12" ht="15.75" customHeight="1">
      <c r="D893" s="61"/>
      <c r="F893" s="2"/>
      <c r="G893" s="2"/>
      <c r="H893" s="2"/>
      <c r="L893" s="62"/>
    </row>
    <row r="894" spans="4:12" ht="15.75" customHeight="1">
      <c r="D894" s="61"/>
      <c r="F894" s="2"/>
      <c r="G894" s="2"/>
      <c r="H894" s="2"/>
      <c r="L894" s="62"/>
    </row>
    <row r="895" spans="4:12" ht="15.75" customHeight="1">
      <c r="D895" s="61"/>
      <c r="F895" s="2"/>
      <c r="G895" s="2"/>
      <c r="H895" s="2"/>
      <c r="L895" s="62"/>
    </row>
    <row r="896" spans="4:12" ht="15.75" customHeight="1">
      <c r="D896" s="61"/>
      <c r="F896" s="2"/>
      <c r="G896" s="2"/>
      <c r="H896" s="2"/>
      <c r="L896" s="62"/>
    </row>
    <row r="897" spans="4:12" ht="15.75" customHeight="1">
      <c r="D897" s="61"/>
      <c r="F897" s="2"/>
      <c r="G897" s="2"/>
      <c r="H897" s="2"/>
      <c r="L897" s="62"/>
    </row>
    <row r="898" spans="4:12" ht="15.75" customHeight="1">
      <c r="D898" s="61"/>
      <c r="F898" s="2"/>
      <c r="G898" s="2"/>
      <c r="H898" s="2"/>
      <c r="L898" s="62"/>
    </row>
    <row r="899" spans="4:12" ht="15.75" customHeight="1">
      <c r="D899" s="61"/>
      <c r="F899" s="2"/>
      <c r="G899" s="2"/>
      <c r="H899" s="2"/>
      <c r="L899" s="62"/>
    </row>
    <row r="900" spans="4:12" ht="15.75" customHeight="1">
      <c r="D900" s="61"/>
      <c r="F900" s="2"/>
      <c r="G900" s="2"/>
      <c r="H900" s="2"/>
      <c r="L900" s="62"/>
    </row>
    <row r="901" spans="4:12" ht="15.75" customHeight="1">
      <c r="D901" s="61"/>
      <c r="F901" s="2"/>
      <c r="G901" s="2"/>
      <c r="H901" s="2"/>
      <c r="L901" s="62"/>
    </row>
    <row r="902" spans="4:12" ht="15.75" customHeight="1">
      <c r="D902" s="61"/>
      <c r="F902" s="2"/>
      <c r="G902" s="2"/>
      <c r="H902" s="2"/>
      <c r="L902" s="62"/>
    </row>
    <row r="903" spans="4:12" ht="15.75" customHeight="1">
      <c r="D903" s="61"/>
      <c r="F903" s="2"/>
      <c r="G903" s="2"/>
      <c r="H903" s="2"/>
      <c r="L903" s="62"/>
    </row>
    <row r="904" spans="4:12" ht="15.75" customHeight="1">
      <c r="D904" s="61"/>
      <c r="F904" s="2"/>
      <c r="G904" s="2"/>
      <c r="H904" s="2"/>
      <c r="L904" s="62"/>
    </row>
    <row r="905" spans="4:12" ht="15.75" customHeight="1">
      <c r="D905" s="61"/>
      <c r="F905" s="2"/>
      <c r="G905" s="2"/>
      <c r="H905" s="2"/>
      <c r="L905" s="62"/>
    </row>
    <row r="906" spans="4:12" ht="15.75" customHeight="1">
      <c r="D906" s="61"/>
      <c r="F906" s="2"/>
      <c r="G906" s="2"/>
      <c r="H906" s="2"/>
      <c r="L906" s="62"/>
    </row>
    <row r="907" spans="4:12" ht="15.75" customHeight="1">
      <c r="D907" s="61"/>
      <c r="F907" s="2"/>
      <c r="G907" s="2"/>
      <c r="H907" s="2"/>
      <c r="L907" s="62"/>
    </row>
    <row r="908" spans="4:12" ht="15.75" customHeight="1">
      <c r="D908" s="61"/>
      <c r="F908" s="2"/>
      <c r="G908" s="2"/>
      <c r="H908" s="2"/>
      <c r="L908" s="62"/>
    </row>
    <row r="909" spans="4:12" ht="15.75" customHeight="1">
      <c r="D909" s="61"/>
      <c r="F909" s="2"/>
      <c r="G909" s="2"/>
      <c r="H909" s="2"/>
      <c r="L909" s="62"/>
    </row>
    <row r="910" spans="4:12" ht="15.75" customHeight="1">
      <c r="D910" s="61"/>
      <c r="F910" s="2"/>
      <c r="G910" s="2"/>
      <c r="H910" s="2"/>
      <c r="L910" s="62"/>
    </row>
    <row r="911" spans="4:12" ht="15.75" customHeight="1">
      <c r="D911" s="61"/>
      <c r="F911" s="2"/>
      <c r="G911" s="2"/>
      <c r="H911" s="2"/>
      <c r="L911" s="62"/>
    </row>
    <row r="912" spans="4:12" ht="15.75" customHeight="1">
      <c r="D912" s="61"/>
      <c r="F912" s="2"/>
      <c r="G912" s="2"/>
      <c r="H912" s="2"/>
      <c r="L912" s="62"/>
    </row>
    <row r="913" spans="4:12" ht="15.75" customHeight="1">
      <c r="D913" s="61"/>
      <c r="F913" s="2"/>
      <c r="G913" s="2"/>
      <c r="H913" s="2"/>
      <c r="L913" s="62"/>
    </row>
    <row r="914" spans="4:12" ht="15.75" customHeight="1">
      <c r="D914" s="61"/>
      <c r="F914" s="2"/>
      <c r="G914" s="2"/>
      <c r="H914" s="2"/>
      <c r="L914" s="62"/>
    </row>
    <row r="915" spans="4:12" ht="15.75" customHeight="1">
      <c r="D915" s="61"/>
      <c r="F915" s="2"/>
      <c r="G915" s="2"/>
      <c r="H915" s="2"/>
      <c r="L915" s="62"/>
    </row>
    <row r="916" spans="4:12" ht="15.75" customHeight="1">
      <c r="D916" s="61"/>
      <c r="F916" s="2"/>
      <c r="G916" s="2"/>
      <c r="H916" s="2"/>
      <c r="L916" s="62"/>
    </row>
    <row r="917" spans="4:12" ht="15.75" customHeight="1">
      <c r="D917" s="61"/>
      <c r="F917" s="2"/>
      <c r="G917" s="2"/>
      <c r="H917" s="2"/>
      <c r="L917" s="62"/>
    </row>
    <row r="918" spans="4:12" ht="15.75" customHeight="1">
      <c r="D918" s="61"/>
      <c r="F918" s="2"/>
      <c r="G918" s="2"/>
      <c r="H918" s="2"/>
      <c r="L918" s="62"/>
    </row>
    <row r="919" spans="4:12" ht="15.75" customHeight="1">
      <c r="D919" s="61"/>
      <c r="F919" s="2"/>
      <c r="G919" s="2"/>
      <c r="H919" s="2"/>
      <c r="L919" s="62"/>
    </row>
    <row r="920" spans="4:12" ht="15.75" customHeight="1">
      <c r="D920" s="61"/>
      <c r="F920" s="2"/>
      <c r="G920" s="2"/>
      <c r="H920" s="2"/>
      <c r="L920" s="62"/>
    </row>
    <row r="921" spans="4:12" ht="15.75" customHeight="1">
      <c r="D921" s="61"/>
      <c r="F921" s="2"/>
      <c r="G921" s="2"/>
      <c r="H921" s="2"/>
      <c r="L921" s="62"/>
    </row>
    <row r="922" spans="4:12" ht="15.75" customHeight="1">
      <c r="D922" s="61"/>
      <c r="F922" s="2"/>
      <c r="G922" s="2"/>
      <c r="H922" s="2"/>
      <c r="L922" s="62"/>
    </row>
    <row r="923" spans="4:12" ht="15.75" customHeight="1">
      <c r="D923" s="61"/>
      <c r="F923" s="2"/>
      <c r="G923" s="2"/>
      <c r="H923" s="2"/>
      <c r="L923" s="62"/>
    </row>
    <row r="924" spans="4:12" ht="15.75" customHeight="1">
      <c r="D924" s="61"/>
      <c r="F924" s="2"/>
      <c r="G924" s="2"/>
      <c r="H924" s="2"/>
      <c r="L924" s="62"/>
    </row>
    <row r="925" spans="4:12" ht="15.75" customHeight="1">
      <c r="D925" s="61"/>
      <c r="F925" s="2"/>
      <c r="G925" s="2"/>
      <c r="H925" s="2"/>
      <c r="L925" s="62"/>
    </row>
    <row r="926" spans="4:12" ht="15.75" customHeight="1">
      <c r="D926" s="61"/>
      <c r="F926" s="2"/>
      <c r="G926" s="2"/>
      <c r="H926" s="2"/>
      <c r="L926" s="62"/>
    </row>
    <row r="927" spans="4:12" ht="15.75" customHeight="1">
      <c r="D927" s="61"/>
      <c r="F927" s="2"/>
      <c r="G927" s="2"/>
      <c r="H927" s="2"/>
      <c r="L927" s="62"/>
    </row>
    <row r="928" spans="4:12" ht="15.75" customHeight="1">
      <c r="D928" s="61"/>
      <c r="F928" s="2"/>
      <c r="G928" s="2"/>
      <c r="H928" s="2"/>
      <c r="L928" s="62"/>
    </row>
    <row r="929" spans="4:12" ht="15.75" customHeight="1">
      <c r="D929" s="61"/>
      <c r="F929" s="2"/>
      <c r="G929" s="2"/>
      <c r="H929" s="2"/>
      <c r="L929" s="62"/>
    </row>
    <row r="930" spans="4:12" ht="15.75" customHeight="1">
      <c r="D930" s="61"/>
      <c r="F930" s="2"/>
      <c r="G930" s="2"/>
      <c r="H930" s="2"/>
      <c r="L930" s="62"/>
    </row>
    <row r="931" spans="4:12" ht="15.75" customHeight="1">
      <c r="D931" s="61"/>
      <c r="F931" s="2"/>
      <c r="G931" s="2"/>
      <c r="H931" s="2"/>
      <c r="L931" s="62"/>
    </row>
    <row r="932" spans="4:12" ht="15.75" customHeight="1">
      <c r="D932" s="61"/>
      <c r="F932" s="2"/>
      <c r="G932" s="2"/>
      <c r="H932" s="2"/>
      <c r="L932" s="62"/>
    </row>
    <row r="933" spans="4:12" ht="15.75" customHeight="1">
      <c r="D933" s="61"/>
      <c r="F933" s="2"/>
      <c r="G933" s="2"/>
      <c r="H933" s="2"/>
      <c r="L933" s="62"/>
    </row>
    <row r="934" spans="4:12" ht="15.75" customHeight="1">
      <c r="D934" s="61"/>
      <c r="F934" s="2"/>
      <c r="G934" s="2"/>
      <c r="H934" s="2"/>
      <c r="L934" s="62"/>
    </row>
    <row r="935" spans="4:12" ht="15.75" customHeight="1">
      <c r="D935" s="61"/>
      <c r="F935" s="2"/>
      <c r="G935" s="2"/>
      <c r="H935" s="2"/>
      <c r="L935" s="62"/>
    </row>
    <row r="936" spans="4:12" ht="15.75" customHeight="1">
      <c r="D936" s="61"/>
      <c r="F936" s="2"/>
      <c r="G936" s="2"/>
      <c r="H936" s="2"/>
      <c r="L936" s="62"/>
    </row>
    <row r="937" spans="4:12" ht="15.75" customHeight="1">
      <c r="D937" s="61"/>
      <c r="F937" s="2"/>
      <c r="G937" s="2"/>
      <c r="H937" s="2"/>
      <c r="L937" s="62"/>
    </row>
    <row r="938" spans="4:12" ht="15.75" customHeight="1">
      <c r="D938" s="61"/>
      <c r="F938" s="2"/>
      <c r="G938" s="2"/>
      <c r="H938" s="2"/>
      <c r="L938" s="62"/>
    </row>
    <row r="939" spans="4:12" ht="15.75" customHeight="1">
      <c r="D939" s="61"/>
      <c r="F939" s="2"/>
      <c r="G939" s="2"/>
      <c r="H939" s="2"/>
      <c r="L939" s="62"/>
    </row>
    <row r="940" spans="4:12" ht="15.75" customHeight="1">
      <c r="D940" s="61"/>
      <c r="F940" s="2"/>
      <c r="G940" s="2"/>
      <c r="H940" s="2"/>
      <c r="L940" s="62"/>
    </row>
    <row r="941" spans="4:12" ht="15.75" customHeight="1">
      <c r="D941" s="61"/>
      <c r="F941" s="2"/>
      <c r="G941" s="2"/>
      <c r="H941" s="2"/>
      <c r="L941" s="62"/>
    </row>
    <row r="942" spans="4:12" ht="15.75" customHeight="1">
      <c r="D942" s="61"/>
      <c r="F942" s="2"/>
      <c r="G942" s="2"/>
      <c r="H942" s="2"/>
      <c r="L942" s="62"/>
    </row>
    <row r="943" spans="4:12" ht="15.75" customHeight="1">
      <c r="D943" s="61"/>
      <c r="F943" s="2"/>
      <c r="G943" s="2"/>
      <c r="H943" s="2"/>
      <c r="L943" s="62"/>
    </row>
    <row r="944" spans="4:12" ht="15.75" customHeight="1">
      <c r="D944" s="61"/>
      <c r="F944" s="2"/>
      <c r="G944" s="2"/>
      <c r="H944" s="2"/>
      <c r="L944" s="62"/>
    </row>
    <row r="945" spans="4:12" ht="15.75" customHeight="1">
      <c r="D945" s="61"/>
      <c r="F945" s="2"/>
      <c r="G945" s="2"/>
      <c r="H945" s="2"/>
      <c r="L945" s="62"/>
    </row>
    <row r="946" spans="4:12" ht="15.75" customHeight="1">
      <c r="D946" s="61"/>
      <c r="F946" s="2"/>
      <c r="G946" s="2"/>
      <c r="H946" s="2"/>
      <c r="L946" s="62"/>
    </row>
    <row r="947" spans="4:12" ht="15.75" customHeight="1">
      <c r="D947" s="61"/>
      <c r="F947" s="2"/>
      <c r="G947" s="2"/>
      <c r="H947" s="2"/>
      <c r="L947" s="62"/>
    </row>
    <row r="948" spans="4:12" ht="15.75" customHeight="1">
      <c r="D948" s="61"/>
      <c r="F948" s="2"/>
      <c r="G948" s="2"/>
      <c r="H948" s="2"/>
      <c r="L948" s="62"/>
    </row>
    <row r="949" spans="4:12" ht="15.75" customHeight="1">
      <c r="D949" s="61"/>
      <c r="F949" s="2"/>
      <c r="G949" s="2"/>
      <c r="H949" s="2"/>
      <c r="L949" s="62"/>
    </row>
    <row r="950" spans="4:12" ht="15.75" customHeight="1">
      <c r="D950" s="61"/>
      <c r="F950" s="2"/>
      <c r="G950" s="2"/>
      <c r="H950" s="2"/>
      <c r="L950" s="62"/>
    </row>
    <row r="951" spans="4:12" ht="15.75" customHeight="1">
      <c r="D951" s="61"/>
      <c r="F951" s="2"/>
      <c r="G951" s="2"/>
      <c r="H951" s="2"/>
      <c r="L951" s="62"/>
    </row>
    <row r="952" spans="4:12" ht="15.75" customHeight="1">
      <c r="D952" s="61"/>
      <c r="F952" s="2"/>
      <c r="G952" s="2"/>
      <c r="H952" s="2"/>
      <c r="L952" s="62"/>
    </row>
    <row r="953" spans="4:12" ht="15.75" customHeight="1">
      <c r="D953" s="61"/>
      <c r="F953" s="2"/>
      <c r="G953" s="2"/>
      <c r="H953" s="2"/>
      <c r="L953" s="62"/>
    </row>
    <row r="954" spans="4:12" ht="15.75" customHeight="1">
      <c r="D954" s="61"/>
      <c r="F954" s="2"/>
      <c r="G954" s="2"/>
      <c r="H954" s="2"/>
      <c r="L954" s="62"/>
    </row>
    <row r="955" spans="4:12" ht="15.75" customHeight="1">
      <c r="D955" s="61"/>
      <c r="F955" s="2"/>
      <c r="G955" s="2"/>
      <c r="H955" s="2"/>
      <c r="L955" s="62"/>
    </row>
    <row r="956" spans="4:12" ht="15.75" customHeight="1">
      <c r="D956" s="61"/>
      <c r="F956" s="2"/>
      <c r="G956" s="2"/>
      <c r="H956" s="2"/>
      <c r="L956" s="62"/>
    </row>
    <row r="957" spans="4:12" ht="15.75" customHeight="1">
      <c r="D957" s="61"/>
      <c r="F957" s="2"/>
      <c r="G957" s="2"/>
      <c r="H957" s="2"/>
      <c r="L957" s="62"/>
    </row>
    <row r="958" spans="4:12" ht="15.75" customHeight="1">
      <c r="D958" s="61"/>
      <c r="F958" s="2"/>
      <c r="G958" s="2"/>
      <c r="H958" s="2"/>
      <c r="L958" s="62"/>
    </row>
    <row r="959" spans="4:12" ht="15.75" customHeight="1">
      <c r="D959" s="61"/>
      <c r="F959" s="2"/>
      <c r="G959" s="2"/>
      <c r="H959" s="2"/>
      <c r="L959" s="62"/>
    </row>
    <row r="960" spans="4:12" ht="15.75" customHeight="1">
      <c r="D960" s="61"/>
      <c r="F960" s="2"/>
      <c r="G960" s="2"/>
      <c r="H960" s="2"/>
      <c r="L960" s="62"/>
    </row>
    <row r="961" spans="4:12" ht="15.75" customHeight="1">
      <c r="D961" s="61"/>
      <c r="F961" s="2"/>
      <c r="G961" s="2"/>
      <c r="H961" s="2"/>
      <c r="L961" s="62"/>
    </row>
    <row r="962" spans="4:12" ht="15.75" customHeight="1">
      <c r="D962" s="61"/>
      <c r="F962" s="2"/>
      <c r="G962" s="2"/>
      <c r="H962" s="2"/>
      <c r="L962" s="62"/>
    </row>
    <row r="963" spans="4:12" ht="15.75" customHeight="1">
      <c r="D963" s="61"/>
      <c r="F963" s="2"/>
      <c r="G963" s="2"/>
      <c r="H963" s="2"/>
      <c r="L963" s="62"/>
    </row>
    <row r="964" spans="4:12" ht="15.75" customHeight="1">
      <c r="D964" s="61"/>
      <c r="F964" s="2"/>
      <c r="G964" s="2"/>
      <c r="H964" s="2"/>
      <c r="L964" s="62"/>
    </row>
    <row r="965" spans="4:12" ht="15.75" customHeight="1">
      <c r="D965" s="61"/>
      <c r="F965" s="2"/>
      <c r="G965" s="2"/>
      <c r="H965" s="2"/>
      <c r="L965" s="62"/>
    </row>
    <row r="966" spans="4:12" ht="15.75" customHeight="1">
      <c r="D966" s="61"/>
      <c r="F966" s="2"/>
      <c r="G966" s="2"/>
      <c r="H966" s="2"/>
      <c r="L966" s="62"/>
    </row>
    <row r="967" spans="4:12" ht="15.75" customHeight="1">
      <c r="D967" s="61"/>
      <c r="F967" s="2"/>
      <c r="G967" s="2"/>
      <c r="H967" s="2"/>
      <c r="L967" s="62"/>
    </row>
    <row r="968" spans="4:12" ht="15.75" customHeight="1">
      <c r="D968" s="61"/>
      <c r="F968" s="2"/>
      <c r="G968" s="2"/>
      <c r="H968" s="2"/>
      <c r="L968" s="62"/>
    </row>
    <row r="969" spans="4:12" ht="15.75" customHeight="1">
      <c r="D969" s="61"/>
      <c r="F969" s="2"/>
      <c r="G969" s="2"/>
      <c r="H969" s="2"/>
      <c r="L969" s="62"/>
    </row>
    <row r="970" spans="4:12" ht="15.75" customHeight="1">
      <c r="D970" s="61"/>
      <c r="F970" s="2"/>
      <c r="G970" s="2"/>
      <c r="H970" s="2"/>
      <c r="L970" s="62"/>
    </row>
    <row r="971" spans="4:12" ht="15.75" customHeight="1">
      <c r="D971" s="61"/>
      <c r="F971" s="2"/>
      <c r="G971" s="2"/>
      <c r="H971" s="2"/>
      <c r="L971" s="62"/>
    </row>
    <row r="972" spans="4:12" ht="15.75" customHeight="1">
      <c r="D972" s="61"/>
      <c r="F972" s="2"/>
      <c r="G972" s="2"/>
      <c r="H972" s="2"/>
      <c r="L972" s="62"/>
    </row>
    <row r="973" spans="4:12" ht="15.75" customHeight="1">
      <c r="D973" s="61"/>
      <c r="F973" s="2"/>
      <c r="G973" s="2"/>
      <c r="H973" s="2"/>
      <c r="L973" s="62"/>
    </row>
    <row r="974" spans="4:12" ht="15.75" customHeight="1">
      <c r="D974" s="61"/>
      <c r="F974" s="2"/>
      <c r="G974" s="2"/>
      <c r="H974" s="2"/>
      <c r="L974" s="62"/>
    </row>
    <row r="975" spans="4:12" ht="15.75" customHeight="1">
      <c r="D975" s="61"/>
      <c r="F975" s="2"/>
      <c r="G975" s="2"/>
      <c r="H975" s="2"/>
      <c r="L975" s="62"/>
    </row>
    <row r="976" spans="4:12" ht="15.75" customHeight="1">
      <c r="D976" s="61"/>
      <c r="F976" s="2"/>
      <c r="G976" s="2"/>
      <c r="H976" s="2"/>
      <c r="L976" s="62"/>
    </row>
    <row r="977" spans="4:12" ht="15.75" customHeight="1">
      <c r="D977" s="61"/>
      <c r="F977" s="2"/>
      <c r="G977" s="2"/>
      <c r="H977" s="2"/>
      <c r="L977" s="62"/>
    </row>
    <row r="978" spans="4:12" ht="15.75" customHeight="1">
      <c r="D978" s="61"/>
      <c r="F978" s="2"/>
      <c r="G978" s="2"/>
      <c r="H978" s="2"/>
      <c r="L978" s="62"/>
    </row>
    <row r="979" spans="4:12" ht="15.75" customHeight="1">
      <c r="D979" s="61"/>
      <c r="F979" s="2"/>
      <c r="G979" s="2"/>
      <c r="H979" s="2"/>
      <c r="L979" s="62"/>
    </row>
    <row r="980" spans="4:12" ht="15.75" customHeight="1">
      <c r="D980" s="61"/>
      <c r="F980" s="2"/>
      <c r="G980" s="2"/>
      <c r="H980" s="2"/>
      <c r="L980" s="62"/>
    </row>
  </sheetData>
  <autoFilter ref="A1:I41" xr:uid="{00000000-0009-0000-0000-000002000000}"/>
  <pageMargins left="1" right="1" top="1" bottom="1" header="0" footer="0"/>
  <pageSetup fitToWidth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14"/>
  <sheetViews>
    <sheetView workbookViewId="0">
      <selection activeCell="F2" sqref="F2"/>
    </sheetView>
  </sheetViews>
  <sheetFormatPr baseColWidth="10" defaultColWidth="14.41796875" defaultRowHeight="15" customHeight="1"/>
  <cols>
    <col min="1" max="1" width="43" customWidth="1"/>
    <col min="2" max="3" width="12.578125" customWidth="1"/>
    <col min="4" max="4" width="15.578125" customWidth="1"/>
    <col min="5" max="5" width="27.68359375" customWidth="1"/>
    <col min="6" max="6" width="16.41796875" customWidth="1"/>
    <col min="7" max="7" width="21.41796875" customWidth="1"/>
    <col min="8" max="8" width="17.41796875" customWidth="1"/>
  </cols>
  <sheetData>
    <row r="1" spans="1:11" ht="30" customHeight="1">
      <c r="A1" s="63" t="s">
        <v>101</v>
      </c>
      <c r="B1" s="63" t="s">
        <v>102</v>
      </c>
      <c r="C1" s="63" t="s">
        <v>103</v>
      </c>
      <c r="D1" s="63" t="s">
        <v>104</v>
      </c>
      <c r="E1" s="64" t="s">
        <v>105</v>
      </c>
      <c r="F1" s="64" t="s">
        <v>172</v>
      </c>
      <c r="G1" s="64" t="s">
        <v>106</v>
      </c>
      <c r="H1" s="64" t="s">
        <v>107</v>
      </c>
      <c r="I1" s="64" t="s">
        <v>108</v>
      </c>
      <c r="J1" s="64" t="s">
        <v>109</v>
      </c>
      <c r="K1" s="64" t="s">
        <v>110</v>
      </c>
    </row>
    <row r="2" spans="1:11" ht="19.5" customHeight="1">
      <c r="A2" s="65" t="s">
        <v>111</v>
      </c>
      <c r="B2" s="66" t="s">
        <v>112</v>
      </c>
      <c r="C2" s="66" t="s">
        <v>113</v>
      </c>
      <c r="D2" s="65"/>
      <c r="E2" s="67">
        <v>2912</v>
      </c>
      <c r="F2" s="68">
        <f t="shared" ref="F2:F67" si="0">(E2*140%)*121%</f>
        <v>4932.9279999999999</v>
      </c>
      <c r="G2" s="69">
        <f t="shared" ref="G2:G67" si="1">F2*92%</f>
        <v>4538.2937600000005</v>
      </c>
      <c r="H2" s="70">
        <f t="shared" ref="H2:H67" si="2">F2*105%</f>
        <v>5179.5744000000004</v>
      </c>
      <c r="I2" s="69">
        <f t="shared" ref="I2:I67" si="3">F2</f>
        <v>4932.9279999999999</v>
      </c>
      <c r="J2" s="69">
        <f t="shared" ref="J2:J67" si="4">F2*105%</f>
        <v>5179.5744000000004</v>
      </c>
      <c r="K2" s="69">
        <f t="shared" ref="K2:K67" si="5">F2*110%</f>
        <v>5426.2208000000001</v>
      </c>
    </row>
    <row r="3" spans="1:11" ht="19.5" customHeight="1">
      <c r="A3" s="65" t="s">
        <v>114</v>
      </c>
      <c r="B3" s="65" t="s">
        <v>112</v>
      </c>
      <c r="C3" s="66" t="s">
        <v>115</v>
      </c>
      <c r="D3" s="65"/>
      <c r="E3" s="67">
        <v>2912</v>
      </c>
      <c r="F3" s="68">
        <f t="shared" si="0"/>
        <v>4932.9279999999999</v>
      </c>
      <c r="G3" s="69">
        <f t="shared" si="1"/>
        <v>4538.2937600000005</v>
      </c>
      <c r="H3" s="70">
        <f t="shared" si="2"/>
        <v>5179.5744000000004</v>
      </c>
      <c r="I3" s="69">
        <f t="shared" si="3"/>
        <v>4932.9279999999999</v>
      </c>
      <c r="J3" s="69">
        <f t="shared" si="4"/>
        <v>5179.5744000000004</v>
      </c>
      <c r="K3" s="69">
        <f t="shared" si="5"/>
        <v>5426.2208000000001</v>
      </c>
    </row>
    <row r="4" spans="1:11" ht="19.5" customHeight="1">
      <c r="A4" s="65" t="s">
        <v>116</v>
      </c>
      <c r="B4" s="65" t="s">
        <v>112</v>
      </c>
      <c r="C4" s="66" t="s">
        <v>115</v>
      </c>
      <c r="D4" s="65"/>
      <c r="E4" s="67">
        <v>3135.77</v>
      </c>
      <c r="F4" s="68">
        <f t="shared" si="0"/>
        <v>5311.9943799999992</v>
      </c>
      <c r="G4" s="69">
        <f t="shared" si="1"/>
        <v>4887.0348295999993</v>
      </c>
      <c r="H4" s="71">
        <f t="shared" si="2"/>
        <v>5577.594098999999</v>
      </c>
      <c r="I4" s="69">
        <f t="shared" si="3"/>
        <v>5311.9943799999992</v>
      </c>
      <c r="J4" s="69">
        <f t="shared" si="4"/>
        <v>5577.594098999999</v>
      </c>
      <c r="K4" s="69">
        <f t="shared" si="5"/>
        <v>5843.1938179999997</v>
      </c>
    </row>
    <row r="5" spans="1:11" ht="19.5" customHeight="1">
      <c r="A5" s="66" t="s">
        <v>117</v>
      </c>
      <c r="B5" s="65" t="s">
        <v>118</v>
      </c>
      <c r="C5" s="66" t="s">
        <v>119</v>
      </c>
      <c r="D5" s="65"/>
      <c r="E5" s="69">
        <v>5785.1239669421493</v>
      </c>
      <c r="F5" s="68">
        <f t="shared" si="0"/>
        <v>9800</v>
      </c>
      <c r="G5" s="69">
        <f t="shared" si="1"/>
        <v>9016</v>
      </c>
      <c r="H5" s="71">
        <f t="shared" si="2"/>
        <v>10290</v>
      </c>
      <c r="I5" s="69">
        <f t="shared" si="3"/>
        <v>9800</v>
      </c>
      <c r="J5" s="69">
        <f t="shared" si="4"/>
        <v>10290</v>
      </c>
      <c r="K5" s="69">
        <f t="shared" si="5"/>
        <v>10780</v>
      </c>
    </row>
    <row r="6" spans="1:11" ht="19.5" customHeight="1">
      <c r="A6" s="66" t="s">
        <v>120</v>
      </c>
      <c r="B6" s="65" t="s">
        <v>121</v>
      </c>
      <c r="C6" s="66" t="s">
        <v>122</v>
      </c>
      <c r="D6" s="65">
        <v>6</v>
      </c>
      <c r="E6" s="69">
        <v>9663.1404958677685</v>
      </c>
      <c r="F6" s="68">
        <f t="shared" si="0"/>
        <v>16369.359999999997</v>
      </c>
      <c r="G6" s="69">
        <f t="shared" si="1"/>
        <v>15059.811199999998</v>
      </c>
      <c r="H6" s="71">
        <f t="shared" si="2"/>
        <v>17187.827999999998</v>
      </c>
      <c r="I6" s="69">
        <f t="shared" si="3"/>
        <v>16369.359999999997</v>
      </c>
      <c r="J6" s="69">
        <f t="shared" si="4"/>
        <v>17187.827999999998</v>
      </c>
      <c r="K6" s="69">
        <f t="shared" si="5"/>
        <v>18006.295999999998</v>
      </c>
    </row>
    <row r="7" spans="1:11" ht="18.75" customHeight="1">
      <c r="A7" s="66" t="s">
        <v>123</v>
      </c>
      <c r="B7" s="65" t="s">
        <v>118</v>
      </c>
      <c r="C7" s="66" t="s">
        <v>122</v>
      </c>
      <c r="D7" s="65">
        <v>1</v>
      </c>
      <c r="E7" s="69">
        <v>3221.0468319559232</v>
      </c>
      <c r="F7" s="68">
        <f t="shared" si="0"/>
        <v>5456.4533333333338</v>
      </c>
      <c r="G7" s="69">
        <f t="shared" si="1"/>
        <v>5019.9370666666673</v>
      </c>
      <c r="H7" s="71">
        <f t="shared" si="2"/>
        <v>5729.2760000000007</v>
      </c>
      <c r="I7" s="69">
        <f t="shared" si="3"/>
        <v>5456.4533333333338</v>
      </c>
      <c r="J7" s="69">
        <f t="shared" si="4"/>
        <v>5729.2760000000007</v>
      </c>
      <c r="K7" s="69">
        <f t="shared" si="5"/>
        <v>6002.0986666666677</v>
      </c>
    </row>
    <row r="8" spans="1:11" ht="18.75" customHeight="1">
      <c r="A8" s="66" t="s">
        <v>124</v>
      </c>
      <c r="B8" s="65" t="s">
        <v>118</v>
      </c>
      <c r="C8" s="66" t="s">
        <v>125</v>
      </c>
      <c r="D8" s="65"/>
      <c r="E8" s="69">
        <v>923.96694214876038</v>
      </c>
      <c r="F8" s="68">
        <f t="shared" si="0"/>
        <v>1565.1999999999998</v>
      </c>
      <c r="G8" s="69">
        <f t="shared" si="1"/>
        <v>1439.9839999999999</v>
      </c>
      <c r="H8" s="71">
        <f t="shared" si="2"/>
        <v>1643.4599999999998</v>
      </c>
      <c r="I8" s="69">
        <f t="shared" si="3"/>
        <v>1565.1999999999998</v>
      </c>
      <c r="J8" s="69">
        <f t="shared" si="4"/>
        <v>1643.4599999999998</v>
      </c>
      <c r="K8" s="69">
        <f t="shared" si="5"/>
        <v>1721.72</v>
      </c>
    </row>
    <row r="9" spans="1:11" ht="19.5" customHeight="1">
      <c r="A9" s="66" t="s">
        <v>126</v>
      </c>
      <c r="B9" s="65" t="s">
        <v>118</v>
      </c>
      <c r="C9" s="66" t="s">
        <v>125</v>
      </c>
      <c r="D9" s="65"/>
      <c r="E9" s="69">
        <v>1833.2231404958677</v>
      </c>
      <c r="F9" s="68">
        <f t="shared" si="0"/>
        <v>3105.4799999999996</v>
      </c>
      <c r="G9" s="69">
        <f t="shared" si="1"/>
        <v>2857.0415999999996</v>
      </c>
      <c r="H9" s="71">
        <f t="shared" si="2"/>
        <v>3260.7539999999999</v>
      </c>
      <c r="I9" s="69">
        <f t="shared" si="3"/>
        <v>3105.4799999999996</v>
      </c>
      <c r="J9" s="69">
        <f t="shared" si="4"/>
        <v>3260.7539999999999</v>
      </c>
      <c r="K9" s="69">
        <f t="shared" si="5"/>
        <v>3416.0279999999998</v>
      </c>
    </row>
    <row r="10" spans="1:11" ht="19.5" customHeight="1">
      <c r="A10" s="66" t="s">
        <v>127</v>
      </c>
      <c r="B10" s="65" t="s">
        <v>118</v>
      </c>
      <c r="C10" s="66" t="s">
        <v>125</v>
      </c>
      <c r="D10" s="65"/>
      <c r="E10" s="69">
        <v>2355.3719008264466</v>
      </c>
      <c r="F10" s="68">
        <f t="shared" si="0"/>
        <v>3990.0000000000005</v>
      </c>
      <c r="G10" s="69">
        <f t="shared" si="1"/>
        <v>3670.8000000000006</v>
      </c>
      <c r="H10" s="71">
        <f t="shared" si="2"/>
        <v>4189.5000000000009</v>
      </c>
      <c r="I10" s="69">
        <f t="shared" si="3"/>
        <v>3990.0000000000005</v>
      </c>
      <c r="J10" s="69">
        <f t="shared" si="4"/>
        <v>4189.5000000000009</v>
      </c>
      <c r="K10" s="69">
        <f t="shared" si="5"/>
        <v>4389.0000000000009</v>
      </c>
    </row>
    <row r="11" spans="1:11" ht="19.5" customHeight="1">
      <c r="A11" s="66" t="s">
        <v>128</v>
      </c>
      <c r="B11" s="66" t="s">
        <v>118</v>
      </c>
      <c r="C11" s="66" t="s">
        <v>119</v>
      </c>
      <c r="D11" s="65"/>
      <c r="E11" s="69">
        <v>766.11570247933889</v>
      </c>
      <c r="F11" s="68">
        <f t="shared" si="0"/>
        <v>1297.8</v>
      </c>
      <c r="G11" s="69">
        <f t="shared" si="1"/>
        <v>1193.9760000000001</v>
      </c>
      <c r="H11" s="71">
        <f t="shared" si="2"/>
        <v>1362.69</v>
      </c>
      <c r="I11" s="69">
        <f t="shared" si="3"/>
        <v>1297.8</v>
      </c>
      <c r="J11" s="69">
        <f t="shared" si="4"/>
        <v>1362.69</v>
      </c>
      <c r="K11" s="69">
        <f t="shared" si="5"/>
        <v>1427.5800000000002</v>
      </c>
    </row>
    <row r="12" spans="1:11" ht="19.5" customHeight="1">
      <c r="A12" s="66" t="s">
        <v>129</v>
      </c>
      <c r="B12" s="66" t="s">
        <v>118</v>
      </c>
      <c r="C12" s="66" t="s">
        <v>119</v>
      </c>
      <c r="D12" s="65"/>
      <c r="E12" s="69">
        <v>498.34710743801656</v>
      </c>
      <c r="F12" s="68">
        <f t="shared" si="0"/>
        <v>844.2</v>
      </c>
      <c r="G12" s="69">
        <f t="shared" si="1"/>
        <v>776.6640000000001</v>
      </c>
      <c r="H12" s="71">
        <f t="shared" si="2"/>
        <v>886.41000000000008</v>
      </c>
      <c r="I12" s="69">
        <f t="shared" si="3"/>
        <v>844.2</v>
      </c>
      <c r="J12" s="69">
        <f t="shared" si="4"/>
        <v>886.41000000000008</v>
      </c>
      <c r="K12" s="69">
        <f t="shared" si="5"/>
        <v>928.62000000000012</v>
      </c>
    </row>
    <row r="13" spans="1:11" ht="19.5" customHeight="1">
      <c r="A13" s="66" t="s">
        <v>130</v>
      </c>
      <c r="B13" s="66" t="s">
        <v>118</v>
      </c>
      <c r="C13" s="66" t="s">
        <v>119</v>
      </c>
      <c r="D13" s="65"/>
      <c r="E13" s="69">
        <v>517.35537190082641</v>
      </c>
      <c r="F13" s="68">
        <f t="shared" si="0"/>
        <v>876.39999999999986</v>
      </c>
      <c r="G13" s="69">
        <f t="shared" si="1"/>
        <v>806.2879999999999</v>
      </c>
      <c r="H13" s="71">
        <f t="shared" si="2"/>
        <v>920.21999999999991</v>
      </c>
      <c r="I13" s="69">
        <f t="shared" si="3"/>
        <v>876.39999999999986</v>
      </c>
      <c r="J13" s="69">
        <f t="shared" si="4"/>
        <v>920.21999999999991</v>
      </c>
      <c r="K13" s="69">
        <f t="shared" si="5"/>
        <v>964.04</v>
      </c>
    </row>
    <row r="14" spans="1:11" ht="19.5" customHeight="1">
      <c r="A14" s="66" t="s">
        <v>131</v>
      </c>
      <c r="B14" s="66" t="s">
        <v>118</v>
      </c>
      <c r="C14" s="66" t="s">
        <v>119</v>
      </c>
      <c r="D14" s="65"/>
      <c r="E14" s="69">
        <v>785.12396694214874</v>
      </c>
      <c r="F14" s="68">
        <f t="shared" si="0"/>
        <v>1329.9999999999998</v>
      </c>
      <c r="G14" s="69">
        <f t="shared" si="1"/>
        <v>1223.5999999999999</v>
      </c>
      <c r="H14" s="71">
        <f t="shared" si="2"/>
        <v>1396.4999999999998</v>
      </c>
      <c r="I14" s="69">
        <f t="shared" si="3"/>
        <v>1329.9999999999998</v>
      </c>
      <c r="J14" s="69">
        <f t="shared" si="4"/>
        <v>1396.4999999999998</v>
      </c>
      <c r="K14" s="69">
        <f t="shared" si="5"/>
        <v>1462.9999999999998</v>
      </c>
    </row>
    <row r="15" spans="1:11" ht="19.5" customHeight="1">
      <c r="A15" s="66" t="s">
        <v>67</v>
      </c>
      <c r="B15" s="66" t="s">
        <v>118</v>
      </c>
      <c r="C15" s="66" t="s">
        <v>125</v>
      </c>
      <c r="D15" s="66">
        <v>100</v>
      </c>
      <c r="E15" s="69">
        <v>25867.768595041322</v>
      </c>
      <c r="F15" s="68">
        <f t="shared" si="0"/>
        <v>43819.999999999993</v>
      </c>
      <c r="G15" s="69">
        <f t="shared" si="1"/>
        <v>40314.399999999994</v>
      </c>
      <c r="H15" s="71">
        <f t="shared" si="2"/>
        <v>46010.999999999993</v>
      </c>
      <c r="I15" s="69">
        <f t="shared" si="3"/>
        <v>43819.999999999993</v>
      </c>
      <c r="J15" s="69">
        <f t="shared" si="4"/>
        <v>46010.999999999993</v>
      </c>
      <c r="K15" s="69">
        <f t="shared" si="5"/>
        <v>48201.999999999993</v>
      </c>
    </row>
    <row r="16" spans="1:11" ht="19.5" customHeight="1">
      <c r="A16" s="66" t="s">
        <v>68</v>
      </c>
      <c r="B16" s="66" t="s">
        <v>118</v>
      </c>
      <c r="C16" s="66" t="s">
        <v>125</v>
      </c>
      <c r="D16" s="66">
        <v>500</v>
      </c>
      <c r="E16" s="69">
        <v>97768.595041322318</v>
      </c>
      <c r="F16" s="68">
        <f t="shared" si="0"/>
        <v>165620</v>
      </c>
      <c r="G16" s="69">
        <f t="shared" si="1"/>
        <v>152370.4</v>
      </c>
      <c r="H16" s="71">
        <f t="shared" si="2"/>
        <v>173901</v>
      </c>
      <c r="I16" s="69">
        <f t="shared" si="3"/>
        <v>165620</v>
      </c>
      <c r="J16" s="69">
        <f t="shared" si="4"/>
        <v>173901</v>
      </c>
      <c r="K16" s="69">
        <f t="shared" si="5"/>
        <v>182182.00000000003</v>
      </c>
    </row>
    <row r="17" spans="1:11" ht="19.5" customHeight="1">
      <c r="A17" s="66" t="s">
        <v>132</v>
      </c>
      <c r="B17" s="66" t="s">
        <v>121</v>
      </c>
      <c r="C17" s="66" t="s">
        <v>125</v>
      </c>
      <c r="D17" s="66">
        <v>1</v>
      </c>
      <c r="E17" s="69">
        <v>258.67768595041321</v>
      </c>
      <c r="F17" s="68">
        <f t="shared" si="0"/>
        <v>438.19999999999993</v>
      </c>
      <c r="G17" s="69">
        <f t="shared" si="1"/>
        <v>403.14399999999995</v>
      </c>
      <c r="H17" s="71">
        <f t="shared" si="2"/>
        <v>460.10999999999996</v>
      </c>
      <c r="I17" s="69">
        <f t="shared" si="3"/>
        <v>438.19999999999993</v>
      </c>
      <c r="J17" s="69">
        <f t="shared" si="4"/>
        <v>460.10999999999996</v>
      </c>
      <c r="K17" s="69">
        <f t="shared" si="5"/>
        <v>482.02</v>
      </c>
    </row>
    <row r="18" spans="1:11" ht="19.5" customHeight="1">
      <c r="A18" s="66" t="s">
        <v>133</v>
      </c>
      <c r="B18" s="66" t="s">
        <v>121</v>
      </c>
      <c r="C18" s="66" t="s">
        <v>134</v>
      </c>
      <c r="D18" s="66">
        <v>1000</v>
      </c>
      <c r="E18" s="69">
        <v>146405.31404958677</v>
      </c>
      <c r="F18" s="68">
        <f t="shared" si="0"/>
        <v>248010.60199999996</v>
      </c>
      <c r="G18" s="69">
        <f t="shared" si="1"/>
        <v>228169.75383999996</v>
      </c>
      <c r="H18" s="71">
        <f t="shared" si="2"/>
        <v>260411.13209999996</v>
      </c>
      <c r="I18" s="69">
        <f t="shared" si="3"/>
        <v>248010.60199999996</v>
      </c>
      <c r="J18" s="69">
        <f t="shared" si="4"/>
        <v>260411.13209999996</v>
      </c>
      <c r="K18" s="69">
        <f t="shared" si="5"/>
        <v>272811.66219999996</v>
      </c>
    </row>
    <row r="19" spans="1:11" ht="19.5" customHeight="1">
      <c r="A19" s="66" t="s">
        <v>133</v>
      </c>
      <c r="B19" s="66" t="s">
        <v>121</v>
      </c>
      <c r="C19" s="66" t="s">
        <v>135</v>
      </c>
      <c r="D19" s="66">
        <v>1000</v>
      </c>
      <c r="E19" s="69">
        <v>135600.82644628099</v>
      </c>
      <c r="F19" s="68">
        <f t="shared" si="0"/>
        <v>229707.8</v>
      </c>
      <c r="G19" s="69">
        <f t="shared" si="1"/>
        <v>211331.17600000001</v>
      </c>
      <c r="H19" s="71">
        <f t="shared" si="2"/>
        <v>241193.19</v>
      </c>
      <c r="I19" s="69">
        <f t="shared" si="3"/>
        <v>229707.8</v>
      </c>
      <c r="J19" s="69">
        <f t="shared" si="4"/>
        <v>241193.19</v>
      </c>
      <c r="K19" s="69">
        <f t="shared" si="5"/>
        <v>252678.58000000002</v>
      </c>
    </row>
    <row r="20" spans="1:11" ht="18.75" customHeight="1">
      <c r="A20" s="66" t="s">
        <v>133</v>
      </c>
      <c r="B20" s="66" t="s">
        <v>121</v>
      </c>
      <c r="C20" s="66" t="s">
        <v>134</v>
      </c>
      <c r="D20" s="66">
        <v>1</v>
      </c>
      <c r="E20" s="69">
        <v>146.40531404958679</v>
      </c>
      <c r="F20" s="68">
        <f t="shared" si="0"/>
        <v>248.01060200000001</v>
      </c>
      <c r="G20" s="69">
        <f t="shared" si="1"/>
        <v>228.16975384000003</v>
      </c>
      <c r="H20" s="71">
        <f t="shared" si="2"/>
        <v>260.41113210000003</v>
      </c>
      <c r="I20" s="69">
        <f t="shared" si="3"/>
        <v>248.01060200000001</v>
      </c>
      <c r="J20" s="69">
        <f t="shared" si="4"/>
        <v>260.41113210000003</v>
      </c>
      <c r="K20" s="69">
        <f t="shared" si="5"/>
        <v>272.8116622</v>
      </c>
    </row>
    <row r="21" spans="1:11" ht="19.5" customHeight="1">
      <c r="A21" s="66" t="s">
        <v>133</v>
      </c>
      <c r="B21" s="66" t="s">
        <v>121</v>
      </c>
      <c r="C21" s="66" t="s">
        <v>135</v>
      </c>
      <c r="D21" s="66">
        <v>1</v>
      </c>
      <c r="E21" s="69">
        <v>135.60082644628099</v>
      </c>
      <c r="F21" s="68">
        <f t="shared" si="0"/>
        <v>229.70779999999996</v>
      </c>
      <c r="G21" s="69">
        <f t="shared" si="1"/>
        <v>211.33117599999997</v>
      </c>
      <c r="H21" s="71">
        <f t="shared" si="2"/>
        <v>241.19318999999996</v>
      </c>
      <c r="I21" s="69">
        <f t="shared" si="3"/>
        <v>229.70779999999996</v>
      </c>
      <c r="J21" s="69">
        <f t="shared" si="4"/>
        <v>241.19318999999996</v>
      </c>
      <c r="K21" s="69">
        <f t="shared" si="5"/>
        <v>252.67857999999998</v>
      </c>
    </row>
    <row r="22" spans="1:11" ht="19.5" customHeight="1">
      <c r="A22" s="66" t="s">
        <v>70</v>
      </c>
      <c r="B22" s="72" t="s">
        <v>112</v>
      </c>
      <c r="C22" s="72" t="s">
        <v>125</v>
      </c>
      <c r="D22" s="3"/>
      <c r="E22" s="73">
        <v>2571.5537190082646</v>
      </c>
      <c r="F22" s="68">
        <f t="shared" si="0"/>
        <v>4356.2119999999995</v>
      </c>
      <c r="G22" s="73">
        <f t="shared" si="1"/>
        <v>4007.7150399999996</v>
      </c>
      <c r="H22" s="74">
        <f t="shared" si="2"/>
        <v>4574.0225999999993</v>
      </c>
      <c r="I22" s="73">
        <f t="shared" si="3"/>
        <v>4356.2119999999995</v>
      </c>
      <c r="J22" s="73">
        <f t="shared" si="4"/>
        <v>4574.0225999999993</v>
      </c>
      <c r="K22" s="73">
        <f t="shared" si="5"/>
        <v>4791.8332</v>
      </c>
    </row>
    <row r="23" spans="1:11" ht="19.5" customHeight="1">
      <c r="A23" s="66" t="s">
        <v>71</v>
      </c>
      <c r="B23" s="72" t="s">
        <v>112</v>
      </c>
      <c r="C23" s="72" t="s">
        <v>125</v>
      </c>
      <c r="D23" s="3"/>
      <c r="E23" s="73">
        <v>2637.4297520661157</v>
      </c>
      <c r="F23" s="68">
        <f t="shared" si="0"/>
        <v>4467.8059999999996</v>
      </c>
      <c r="G23" s="73">
        <f t="shared" si="1"/>
        <v>4110.3815199999999</v>
      </c>
      <c r="H23" s="74">
        <f t="shared" si="2"/>
        <v>4691.1962999999996</v>
      </c>
      <c r="I23" s="73">
        <f t="shared" si="3"/>
        <v>4467.8059999999996</v>
      </c>
      <c r="J23" s="73">
        <f t="shared" si="4"/>
        <v>4691.1962999999996</v>
      </c>
      <c r="K23" s="73">
        <f t="shared" si="5"/>
        <v>4914.5865999999996</v>
      </c>
    </row>
    <row r="24" spans="1:11" ht="19.5" customHeight="1">
      <c r="A24" s="66" t="s">
        <v>136</v>
      </c>
      <c r="B24" s="72" t="s">
        <v>112</v>
      </c>
      <c r="C24" s="72"/>
      <c r="D24" s="3"/>
      <c r="E24" s="73">
        <v>2538.0991735537191</v>
      </c>
      <c r="F24" s="68">
        <f t="shared" si="0"/>
        <v>4299.54</v>
      </c>
      <c r="G24" s="73">
        <f t="shared" si="1"/>
        <v>3955.5768000000003</v>
      </c>
      <c r="H24" s="74">
        <f t="shared" si="2"/>
        <v>4514.5169999999998</v>
      </c>
      <c r="I24" s="73">
        <f t="shared" si="3"/>
        <v>4299.54</v>
      </c>
      <c r="J24" s="73">
        <f t="shared" si="4"/>
        <v>4514.5169999999998</v>
      </c>
      <c r="K24" s="73">
        <f t="shared" si="5"/>
        <v>4729.4940000000006</v>
      </c>
    </row>
    <row r="25" spans="1:11" ht="19.5" customHeight="1">
      <c r="A25" s="66" t="s">
        <v>137</v>
      </c>
      <c r="B25" s="72" t="s">
        <v>118</v>
      </c>
      <c r="C25" s="72">
        <v>2</v>
      </c>
      <c r="D25" s="3"/>
      <c r="E25" s="73">
        <v>9616.0406942148766</v>
      </c>
      <c r="F25" s="68">
        <f t="shared" si="0"/>
        <v>16289.572936</v>
      </c>
      <c r="G25" s="73">
        <f t="shared" si="1"/>
        <v>14986.407101120001</v>
      </c>
      <c r="H25" s="74">
        <f t="shared" si="2"/>
        <v>17104.051582800003</v>
      </c>
      <c r="I25" s="73">
        <f t="shared" si="3"/>
        <v>16289.572936</v>
      </c>
      <c r="J25" s="73">
        <f t="shared" si="4"/>
        <v>17104.051582800003</v>
      </c>
      <c r="K25" s="73">
        <f t="shared" si="5"/>
        <v>17918.530229600001</v>
      </c>
    </row>
    <row r="26" spans="1:11" ht="19.5" customHeight="1">
      <c r="A26" s="66" t="s">
        <v>138</v>
      </c>
      <c r="B26" s="72" t="s">
        <v>118</v>
      </c>
      <c r="C26" s="72">
        <v>2</v>
      </c>
      <c r="D26" s="3"/>
      <c r="E26" s="73">
        <v>6410.6937961432504</v>
      </c>
      <c r="F26" s="68">
        <f t="shared" si="0"/>
        <v>10859.715290666665</v>
      </c>
      <c r="G26" s="73">
        <f t="shared" si="1"/>
        <v>9990.9380674133317</v>
      </c>
      <c r="H26" s="74">
        <f t="shared" si="2"/>
        <v>11402.701055199999</v>
      </c>
      <c r="I26" s="73">
        <f t="shared" si="3"/>
        <v>10859.715290666665</v>
      </c>
      <c r="J26" s="73">
        <f t="shared" si="4"/>
        <v>11402.701055199999</v>
      </c>
      <c r="K26" s="73">
        <f t="shared" si="5"/>
        <v>11945.686819733333</v>
      </c>
    </row>
    <row r="27" spans="1:11" ht="19.5" customHeight="1">
      <c r="A27" s="66" t="s">
        <v>139</v>
      </c>
      <c r="B27" s="72" t="s">
        <v>118</v>
      </c>
      <c r="C27" s="72">
        <v>2</v>
      </c>
      <c r="D27" s="3"/>
      <c r="E27" s="73">
        <v>12017.36026446281</v>
      </c>
      <c r="F27" s="68">
        <f t="shared" si="0"/>
        <v>20357.408287999999</v>
      </c>
      <c r="G27" s="73">
        <f t="shared" si="1"/>
        <v>18728.81562496</v>
      </c>
      <c r="H27" s="74">
        <f t="shared" si="2"/>
        <v>21375.278702399999</v>
      </c>
      <c r="I27" s="73">
        <f t="shared" si="3"/>
        <v>20357.408287999999</v>
      </c>
      <c r="J27" s="73">
        <f t="shared" si="4"/>
        <v>21375.278702399999</v>
      </c>
      <c r="K27" s="73">
        <f t="shared" si="5"/>
        <v>22393.149116799999</v>
      </c>
    </row>
    <row r="28" spans="1:11" ht="19.5" customHeight="1">
      <c r="A28" s="66" t="s">
        <v>140</v>
      </c>
      <c r="B28" s="72" t="s">
        <v>118</v>
      </c>
      <c r="C28" s="72">
        <v>2</v>
      </c>
      <c r="D28" s="3"/>
      <c r="E28" s="73">
        <v>8011.573509641873</v>
      </c>
      <c r="F28" s="68">
        <f t="shared" si="0"/>
        <v>13571.605525333332</v>
      </c>
      <c r="G28" s="73">
        <f t="shared" si="1"/>
        <v>12485.877083306666</v>
      </c>
      <c r="H28" s="74">
        <f t="shared" si="2"/>
        <v>14250.185801600001</v>
      </c>
      <c r="I28" s="73">
        <f t="shared" si="3"/>
        <v>13571.605525333332</v>
      </c>
      <c r="J28" s="73">
        <f t="shared" si="4"/>
        <v>14250.185801600001</v>
      </c>
      <c r="K28" s="73">
        <f t="shared" si="5"/>
        <v>14928.766077866667</v>
      </c>
    </row>
    <row r="29" spans="1:11" ht="19.5" customHeight="1">
      <c r="A29" s="66" t="s">
        <v>141</v>
      </c>
      <c r="B29" s="72" t="s">
        <v>118</v>
      </c>
      <c r="C29" s="72">
        <v>1.8</v>
      </c>
      <c r="D29" s="3"/>
      <c r="E29" s="73">
        <v>8814.7160991735545</v>
      </c>
      <c r="F29" s="68">
        <f t="shared" si="0"/>
        <v>14932.129072</v>
      </c>
      <c r="G29" s="73">
        <f t="shared" si="1"/>
        <v>13737.55874624</v>
      </c>
      <c r="H29" s="74">
        <f t="shared" si="2"/>
        <v>15678.735525600001</v>
      </c>
      <c r="I29" s="73">
        <f t="shared" si="3"/>
        <v>14932.129072</v>
      </c>
      <c r="J29" s="73">
        <f t="shared" si="4"/>
        <v>15678.735525600001</v>
      </c>
      <c r="K29" s="73">
        <f t="shared" si="5"/>
        <v>16425.341979200002</v>
      </c>
    </row>
    <row r="30" spans="1:11" ht="19.5" customHeight="1">
      <c r="A30" s="66" t="s">
        <v>142</v>
      </c>
      <c r="B30" s="72" t="s">
        <v>118</v>
      </c>
      <c r="C30" s="72">
        <v>1.8</v>
      </c>
      <c r="D30" s="3"/>
      <c r="E30" s="73">
        <v>5876.4773994490361</v>
      </c>
      <c r="F30" s="68">
        <f t="shared" si="0"/>
        <v>9954.7527146666653</v>
      </c>
      <c r="G30" s="73">
        <f t="shared" si="1"/>
        <v>9158.372497493332</v>
      </c>
      <c r="H30" s="74">
        <f t="shared" si="2"/>
        <v>10452.490350399999</v>
      </c>
      <c r="I30" s="73">
        <f t="shared" si="3"/>
        <v>9954.7527146666653</v>
      </c>
      <c r="J30" s="73">
        <f t="shared" si="4"/>
        <v>10452.490350399999</v>
      </c>
      <c r="K30" s="73">
        <f t="shared" si="5"/>
        <v>10950.227986133332</v>
      </c>
    </row>
    <row r="31" spans="1:11" ht="19.5" customHeight="1">
      <c r="A31" s="66" t="s">
        <v>143</v>
      </c>
      <c r="B31" s="72" t="s">
        <v>118</v>
      </c>
      <c r="C31" s="72">
        <v>1.8</v>
      </c>
      <c r="D31" s="3"/>
      <c r="E31" s="73">
        <v>10121.754247933884</v>
      </c>
      <c r="F31" s="68">
        <f t="shared" si="0"/>
        <v>17146.251695999999</v>
      </c>
      <c r="G31" s="73">
        <f t="shared" si="1"/>
        <v>15774.55156032</v>
      </c>
      <c r="H31" s="74">
        <f t="shared" si="2"/>
        <v>18003.564280800001</v>
      </c>
      <c r="I31" s="73">
        <f t="shared" si="3"/>
        <v>17146.251695999999</v>
      </c>
      <c r="J31" s="73">
        <f t="shared" si="4"/>
        <v>18003.564280800001</v>
      </c>
      <c r="K31" s="73">
        <f t="shared" si="5"/>
        <v>18860.876865599999</v>
      </c>
    </row>
    <row r="32" spans="1:11" ht="19.5" customHeight="1">
      <c r="A32" s="66" t="s">
        <v>144</v>
      </c>
      <c r="B32" s="72" t="s">
        <v>118</v>
      </c>
      <c r="C32" s="72">
        <v>1.8</v>
      </c>
      <c r="D32" s="3"/>
      <c r="E32" s="73">
        <v>6747.8361652892563</v>
      </c>
      <c r="F32" s="68">
        <f t="shared" si="0"/>
        <v>11430.834464</v>
      </c>
      <c r="G32" s="73">
        <f t="shared" si="1"/>
        <v>10516.367706880001</v>
      </c>
      <c r="H32" s="74">
        <f t="shared" si="2"/>
        <v>12002.3761872</v>
      </c>
      <c r="I32" s="73">
        <f t="shared" si="3"/>
        <v>11430.834464</v>
      </c>
      <c r="J32" s="73">
        <f t="shared" si="4"/>
        <v>12002.3761872</v>
      </c>
      <c r="K32" s="73">
        <f t="shared" si="5"/>
        <v>12573.917910400001</v>
      </c>
    </row>
    <row r="33" spans="1:11" ht="19.5" customHeight="1">
      <c r="A33" s="66" t="s">
        <v>145</v>
      </c>
      <c r="B33" s="72" t="s">
        <v>118</v>
      </c>
      <c r="C33" s="72">
        <v>1.5</v>
      </c>
      <c r="D33" s="3"/>
      <c r="E33" s="73">
        <v>7066.2049586776866</v>
      </c>
      <c r="F33" s="68">
        <f t="shared" si="0"/>
        <v>11970.1512</v>
      </c>
      <c r="G33" s="73">
        <f t="shared" si="1"/>
        <v>11012.539104000001</v>
      </c>
      <c r="H33" s="74">
        <f t="shared" si="2"/>
        <v>12568.65876</v>
      </c>
      <c r="I33" s="73">
        <f t="shared" si="3"/>
        <v>11970.1512</v>
      </c>
      <c r="J33" s="73">
        <f t="shared" si="4"/>
        <v>12568.65876</v>
      </c>
      <c r="K33" s="73">
        <f t="shared" si="5"/>
        <v>13167.166320000002</v>
      </c>
    </row>
    <row r="34" spans="1:11" ht="14.25" customHeight="1">
      <c r="A34" s="66" t="s">
        <v>146</v>
      </c>
      <c r="B34" s="72" t="s">
        <v>118</v>
      </c>
      <c r="C34" s="72">
        <v>1.5</v>
      </c>
      <c r="D34" s="3"/>
      <c r="E34" s="73">
        <v>4710.8033057851244</v>
      </c>
      <c r="F34" s="68">
        <f t="shared" si="0"/>
        <v>7980.1008000000002</v>
      </c>
      <c r="G34" s="73">
        <f t="shared" si="1"/>
        <v>7341.6927360000009</v>
      </c>
      <c r="H34" s="74">
        <f t="shared" si="2"/>
        <v>8379.1058400000002</v>
      </c>
      <c r="I34" s="73">
        <f t="shared" si="3"/>
        <v>7980.1008000000002</v>
      </c>
      <c r="J34" s="73">
        <f t="shared" si="4"/>
        <v>8379.1058400000002</v>
      </c>
      <c r="K34" s="73">
        <f t="shared" si="5"/>
        <v>8778.1108800000002</v>
      </c>
    </row>
    <row r="35" spans="1:11" ht="14.25" customHeight="1">
      <c r="A35" s="66" t="s">
        <v>147</v>
      </c>
      <c r="B35" s="72" t="s">
        <v>118</v>
      </c>
      <c r="C35" s="72">
        <v>1.5</v>
      </c>
      <c r="D35" s="3"/>
      <c r="E35" s="73">
        <v>6421.5304132231404</v>
      </c>
      <c r="F35" s="68">
        <f t="shared" si="0"/>
        <v>10878.072519999998</v>
      </c>
      <c r="G35" s="73">
        <f t="shared" si="1"/>
        <v>10007.826718399998</v>
      </c>
      <c r="H35" s="74">
        <f t="shared" si="2"/>
        <v>11421.976145999999</v>
      </c>
      <c r="I35" s="73">
        <f t="shared" si="3"/>
        <v>10878.072519999998</v>
      </c>
      <c r="J35" s="73">
        <f t="shared" si="4"/>
        <v>11421.976145999999</v>
      </c>
      <c r="K35" s="73">
        <f t="shared" si="5"/>
        <v>11965.879771999998</v>
      </c>
    </row>
    <row r="36" spans="1:11" ht="14.25" customHeight="1">
      <c r="A36" s="66" t="s">
        <v>148</v>
      </c>
      <c r="B36" s="72" t="s">
        <v>118</v>
      </c>
      <c r="C36" s="72">
        <v>1.5</v>
      </c>
      <c r="D36" s="3"/>
      <c r="E36" s="73">
        <v>4281.0202754820948</v>
      </c>
      <c r="F36" s="68">
        <f t="shared" si="0"/>
        <v>7252.0483466666683</v>
      </c>
      <c r="G36" s="73">
        <f t="shared" si="1"/>
        <v>6671.8844789333352</v>
      </c>
      <c r="H36" s="74">
        <f t="shared" si="2"/>
        <v>7614.6507640000018</v>
      </c>
      <c r="I36" s="73">
        <f t="shared" si="3"/>
        <v>7252.0483466666683</v>
      </c>
      <c r="J36" s="73">
        <f t="shared" si="4"/>
        <v>7614.6507640000018</v>
      </c>
      <c r="K36" s="73">
        <f t="shared" si="5"/>
        <v>7977.2531813333362</v>
      </c>
    </row>
    <row r="37" spans="1:11" ht="19.5" customHeight="1">
      <c r="A37" s="66" t="s">
        <v>149</v>
      </c>
      <c r="B37" s="72" t="s">
        <v>118</v>
      </c>
      <c r="C37" s="72">
        <v>1.8</v>
      </c>
      <c r="D37" s="3"/>
      <c r="E37" s="73">
        <v>10787.688198347108</v>
      </c>
      <c r="F37" s="68">
        <f t="shared" si="0"/>
        <v>18274.343807999998</v>
      </c>
      <c r="G37" s="73">
        <f t="shared" si="1"/>
        <v>16812.396303359998</v>
      </c>
      <c r="H37" s="74">
        <f t="shared" si="2"/>
        <v>19188.0609984</v>
      </c>
      <c r="I37" s="73">
        <f t="shared" si="3"/>
        <v>18274.343807999998</v>
      </c>
      <c r="J37" s="73">
        <f t="shared" si="4"/>
        <v>19188.0609984</v>
      </c>
      <c r="K37" s="73">
        <f t="shared" si="5"/>
        <v>20101.778188799999</v>
      </c>
    </row>
    <row r="38" spans="1:11" ht="19.5" customHeight="1">
      <c r="A38" s="66" t="s">
        <v>150</v>
      </c>
      <c r="B38" s="72" t="s">
        <v>118</v>
      </c>
      <c r="C38" s="72">
        <v>1.8</v>
      </c>
      <c r="D38" s="3"/>
      <c r="E38" s="73">
        <v>8622.1314049586781</v>
      </c>
      <c r="F38" s="68">
        <f t="shared" si="0"/>
        <v>14605.890600000001</v>
      </c>
      <c r="G38" s="73">
        <f t="shared" si="1"/>
        <v>13437.419352000001</v>
      </c>
      <c r="H38" s="74">
        <f t="shared" si="2"/>
        <v>15336.185130000002</v>
      </c>
      <c r="I38" s="73">
        <f t="shared" si="3"/>
        <v>14605.890600000001</v>
      </c>
      <c r="J38" s="73">
        <f t="shared" si="4"/>
        <v>15336.185130000002</v>
      </c>
      <c r="K38" s="73">
        <f t="shared" si="5"/>
        <v>16066.479660000003</v>
      </c>
    </row>
    <row r="39" spans="1:11" ht="14.25" customHeight="1">
      <c r="A39" s="66" t="s">
        <v>151</v>
      </c>
      <c r="B39" s="72" t="s">
        <v>118</v>
      </c>
      <c r="C39" s="72">
        <v>2</v>
      </c>
      <c r="D39" s="3"/>
      <c r="E39" s="73">
        <v>9616.0406942148766</v>
      </c>
      <c r="F39" s="68">
        <f t="shared" si="0"/>
        <v>16289.572936</v>
      </c>
      <c r="G39" s="73">
        <f t="shared" si="1"/>
        <v>14986.407101120001</v>
      </c>
      <c r="H39" s="74">
        <f t="shared" si="2"/>
        <v>17104.051582800003</v>
      </c>
      <c r="I39" s="73">
        <f t="shared" si="3"/>
        <v>16289.572936</v>
      </c>
      <c r="J39" s="73">
        <f t="shared" si="4"/>
        <v>17104.051582800003</v>
      </c>
      <c r="K39" s="73">
        <f t="shared" si="5"/>
        <v>17918.530229600001</v>
      </c>
    </row>
    <row r="40" spans="1:11" ht="14.25" customHeight="1">
      <c r="A40" s="66" t="s">
        <v>152</v>
      </c>
      <c r="B40" s="72" t="s">
        <v>118</v>
      </c>
      <c r="C40" s="72">
        <v>2</v>
      </c>
      <c r="D40" s="3"/>
      <c r="E40" s="73">
        <v>10939.543537190082</v>
      </c>
      <c r="F40" s="68">
        <f t="shared" si="0"/>
        <v>18531.586751999996</v>
      </c>
      <c r="G40" s="73">
        <f t="shared" si="1"/>
        <v>17049.059811839998</v>
      </c>
      <c r="H40" s="74">
        <f t="shared" si="2"/>
        <v>19458.166089599996</v>
      </c>
      <c r="I40" s="73">
        <f t="shared" si="3"/>
        <v>18531.586751999996</v>
      </c>
      <c r="J40" s="73">
        <f t="shared" si="4"/>
        <v>19458.166089599996</v>
      </c>
      <c r="K40" s="73">
        <f t="shared" si="5"/>
        <v>20384.745427199996</v>
      </c>
    </row>
    <row r="41" spans="1:11" ht="14.25" customHeight="1">
      <c r="A41" s="66" t="s">
        <v>72</v>
      </c>
      <c r="B41" s="72" t="s">
        <v>112</v>
      </c>
      <c r="C41" s="72" t="s">
        <v>112</v>
      </c>
      <c r="D41" s="3"/>
      <c r="E41" s="73">
        <v>2829.3057851239669</v>
      </c>
      <c r="F41" s="68">
        <f t="shared" si="0"/>
        <v>4792.8440000000001</v>
      </c>
      <c r="G41" s="73">
        <f t="shared" si="1"/>
        <v>4409.4164799999999</v>
      </c>
      <c r="H41" s="74">
        <f t="shared" si="2"/>
        <v>5032.4862000000003</v>
      </c>
      <c r="I41" s="73">
        <f t="shared" si="3"/>
        <v>4792.8440000000001</v>
      </c>
      <c r="J41" s="73">
        <f t="shared" si="4"/>
        <v>5032.4862000000003</v>
      </c>
      <c r="K41" s="73">
        <f t="shared" si="5"/>
        <v>5272.1284000000005</v>
      </c>
    </row>
    <row r="42" spans="1:11" ht="14.25" customHeight="1">
      <c r="A42" s="66" t="s">
        <v>73</v>
      </c>
      <c r="B42" s="72" t="s">
        <v>153</v>
      </c>
      <c r="C42" s="72" t="s">
        <v>153</v>
      </c>
      <c r="D42" s="3"/>
      <c r="E42" s="73">
        <v>17851.239669421488</v>
      </c>
      <c r="F42" s="68">
        <f t="shared" si="0"/>
        <v>30239.999999999996</v>
      </c>
      <c r="G42" s="73">
        <f t="shared" si="1"/>
        <v>27820.799999999999</v>
      </c>
      <c r="H42" s="74">
        <f t="shared" si="2"/>
        <v>31751.999999999996</v>
      </c>
      <c r="I42" s="73">
        <f t="shared" si="3"/>
        <v>30239.999999999996</v>
      </c>
      <c r="J42" s="73">
        <f t="shared" si="4"/>
        <v>31751.999999999996</v>
      </c>
      <c r="K42" s="73">
        <f t="shared" si="5"/>
        <v>33264</v>
      </c>
    </row>
    <row r="43" spans="1:11" ht="14.25" customHeight="1">
      <c r="A43" s="66" t="s">
        <v>74</v>
      </c>
      <c r="B43" s="72" t="s">
        <v>153</v>
      </c>
      <c r="C43" s="72" t="s">
        <v>153</v>
      </c>
      <c r="D43" s="3"/>
      <c r="E43" s="73">
        <v>17851.239669421488</v>
      </c>
      <c r="F43" s="68">
        <f t="shared" si="0"/>
        <v>30239.999999999996</v>
      </c>
      <c r="G43" s="73">
        <f t="shared" si="1"/>
        <v>27820.799999999999</v>
      </c>
      <c r="H43" s="74">
        <f t="shared" si="2"/>
        <v>31751.999999999996</v>
      </c>
      <c r="I43" s="73">
        <f t="shared" si="3"/>
        <v>30239.999999999996</v>
      </c>
      <c r="J43" s="73">
        <f t="shared" si="4"/>
        <v>31751.999999999996</v>
      </c>
      <c r="K43" s="73">
        <f t="shared" si="5"/>
        <v>33264</v>
      </c>
    </row>
    <row r="44" spans="1:11" ht="14.25" customHeight="1">
      <c r="A44" s="66" t="s">
        <v>75</v>
      </c>
      <c r="B44" s="72" t="s">
        <v>118</v>
      </c>
      <c r="C44" s="72" t="s">
        <v>154</v>
      </c>
      <c r="D44" s="3"/>
      <c r="E44" s="73">
        <v>6752.0661157024797</v>
      </c>
      <c r="F44" s="68">
        <f t="shared" si="0"/>
        <v>11438</v>
      </c>
      <c r="G44" s="73">
        <f t="shared" si="1"/>
        <v>10522.960000000001</v>
      </c>
      <c r="H44" s="74">
        <f t="shared" si="2"/>
        <v>12009.9</v>
      </c>
      <c r="I44" s="73">
        <f t="shared" si="3"/>
        <v>11438</v>
      </c>
      <c r="J44" s="73">
        <f t="shared" si="4"/>
        <v>12009.9</v>
      </c>
      <c r="K44" s="73">
        <f t="shared" si="5"/>
        <v>12581.800000000001</v>
      </c>
    </row>
    <row r="45" spans="1:11" ht="14.25" customHeight="1">
      <c r="A45" s="66" t="s">
        <v>76</v>
      </c>
      <c r="B45" s="72" t="s">
        <v>118</v>
      </c>
      <c r="C45" s="72" t="s">
        <v>154</v>
      </c>
      <c r="D45" s="3"/>
      <c r="E45" s="73">
        <v>2113.6363636363635</v>
      </c>
      <c r="F45" s="68">
        <f t="shared" si="0"/>
        <v>3580.4999999999991</v>
      </c>
      <c r="G45" s="73">
        <f t="shared" si="1"/>
        <v>3294.0599999999995</v>
      </c>
      <c r="H45" s="74">
        <f t="shared" si="2"/>
        <v>3759.5249999999992</v>
      </c>
      <c r="I45" s="73">
        <f t="shared" si="3"/>
        <v>3580.4999999999991</v>
      </c>
      <c r="J45" s="73">
        <f t="shared" si="4"/>
        <v>3759.5249999999992</v>
      </c>
      <c r="K45" s="73">
        <f t="shared" si="5"/>
        <v>3938.5499999999993</v>
      </c>
    </row>
    <row r="46" spans="1:11" ht="14.25" customHeight="1">
      <c r="A46" s="66" t="s">
        <v>77</v>
      </c>
      <c r="B46" s="72" t="s">
        <v>118</v>
      </c>
      <c r="C46" s="72" t="s">
        <v>154</v>
      </c>
      <c r="D46" s="3"/>
      <c r="E46" s="73">
        <v>10743.801652892562</v>
      </c>
      <c r="F46" s="68">
        <f t="shared" si="0"/>
        <v>18199.999999999996</v>
      </c>
      <c r="G46" s="73">
        <f t="shared" si="1"/>
        <v>16743.999999999996</v>
      </c>
      <c r="H46" s="73">
        <f t="shared" si="2"/>
        <v>19109.999999999996</v>
      </c>
      <c r="I46" s="73">
        <f t="shared" si="3"/>
        <v>18199.999999999996</v>
      </c>
      <c r="J46" s="73">
        <f t="shared" si="4"/>
        <v>19109.999999999996</v>
      </c>
      <c r="K46" s="73">
        <f t="shared" si="5"/>
        <v>20019.999999999996</v>
      </c>
    </row>
    <row r="47" spans="1:11" ht="14.25" customHeight="1">
      <c r="A47" s="66" t="s">
        <v>78</v>
      </c>
      <c r="B47" s="72" t="s">
        <v>118</v>
      </c>
      <c r="C47" s="72" t="s">
        <v>154</v>
      </c>
      <c r="D47" s="3"/>
      <c r="E47" s="73">
        <v>16528.92561983471</v>
      </c>
      <c r="F47" s="68">
        <f t="shared" si="0"/>
        <v>27999.999999999996</v>
      </c>
      <c r="G47" s="73">
        <f t="shared" si="1"/>
        <v>25759.999999999996</v>
      </c>
      <c r="H47" s="73">
        <f t="shared" si="2"/>
        <v>29399.999999999996</v>
      </c>
      <c r="I47" s="73">
        <f t="shared" si="3"/>
        <v>27999.999999999996</v>
      </c>
      <c r="J47" s="73">
        <f t="shared" si="4"/>
        <v>29399.999999999996</v>
      </c>
      <c r="K47" s="73">
        <f t="shared" si="5"/>
        <v>30800</v>
      </c>
    </row>
    <row r="48" spans="1:11" ht="14.25" customHeight="1">
      <c r="A48" s="66" t="s">
        <v>79</v>
      </c>
      <c r="B48" s="72" t="s">
        <v>118</v>
      </c>
      <c r="C48" s="72" t="s">
        <v>154</v>
      </c>
      <c r="D48" s="3"/>
      <c r="E48" s="73">
        <v>0</v>
      </c>
      <c r="F48" s="68">
        <f t="shared" si="0"/>
        <v>0</v>
      </c>
      <c r="G48" s="73">
        <f t="shared" si="1"/>
        <v>0</v>
      </c>
      <c r="H48" s="73">
        <f t="shared" si="2"/>
        <v>0</v>
      </c>
      <c r="I48" s="73">
        <f t="shared" si="3"/>
        <v>0</v>
      </c>
      <c r="J48" s="73">
        <f t="shared" si="4"/>
        <v>0</v>
      </c>
      <c r="K48" s="73">
        <f t="shared" si="5"/>
        <v>0</v>
      </c>
    </row>
    <row r="49" spans="1:11" ht="14.25" customHeight="1">
      <c r="A49" s="66" t="s">
        <v>155</v>
      </c>
      <c r="B49" s="72" t="s">
        <v>118</v>
      </c>
      <c r="C49" s="72" t="s">
        <v>156</v>
      </c>
      <c r="D49" s="3"/>
      <c r="E49" s="73">
        <v>2684.2066115702478</v>
      </c>
      <c r="F49" s="68">
        <f t="shared" si="0"/>
        <v>4547.0459999999994</v>
      </c>
      <c r="G49" s="73">
        <f t="shared" si="1"/>
        <v>4183.2823199999993</v>
      </c>
      <c r="H49" s="73">
        <f t="shared" si="2"/>
        <v>4774.3982999999998</v>
      </c>
      <c r="I49" s="73">
        <f t="shared" si="3"/>
        <v>4547.0459999999994</v>
      </c>
      <c r="J49" s="73">
        <f t="shared" si="4"/>
        <v>4774.3982999999998</v>
      </c>
      <c r="K49" s="73">
        <f t="shared" si="5"/>
        <v>5001.7505999999994</v>
      </c>
    </row>
    <row r="50" spans="1:11" ht="14.25" customHeight="1">
      <c r="A50" s="66" t="s">
        <v>80</v>
      </c>
      <c r="B50" s="72" t="s">
        <v>112</v>
      </c>
      <c r="C50" s="72" t="s">
        <v>154</v>
      </c>
      <c r="D50" s="3"/>
      <c r="E50" s="73">
        <v>2090.909090909091</v>
      </c>
      <c r="F50" s="68">
        <f t="shared" si="0"/>
        <v>3541.9999999999995</v>
      </c>
      <c r="G50" s="73">
        <f t="shared" si="1"/>
        <v>3258.64</v>
      </c>
      <c r="H50" s="73">
        <f t="shared" si="2"/>
        <v>3719.0999999999995</v>
      </c>
      <c r="I50" s="73">
        <f t="shared" si="3"/>
        <v>3541.9999999999995</v>
      </c>
      <c r="J50" s="73">
        <f t="shared" si="4"/>
        <v>3719.0999999999995</v>
      </c>
      <c r="K50" s="73">
        <f t="shared" si="5"/>
        <v>3896.2</v>
      </c>
    </row>
    <row r="51" spans="1:11" ht="14.25" customHeight="1">
      <c r="A51" s="66" t="s">
        <v>81</v>
      </c>
      <c r="B51" s="72" t="s">
        <v>118</v>
      </c>
      <c r="C51" s="72" t="s">
        <v>154</v>
      </c>
      <c r="D51" s="3"/>
      <c r="E51" s="73">
        <v>7437.1900826446281</v>
      </c>
      <c r="F51" s="68">
        <f t="shared" si="0"/>
        <v>12598.599999999999</v>
      </c>
      <c r="G51" s="73">
        <f t="shared" si="1"/>
        <v>11590.712</v>
      </c>
      <c r="H51" s="73">
        <f t="shared" si="2"/>
        <v>13228.529999999999</v>
      </c>
      <c r="I51" s="73">
        <f t="shared" si="3"/>
        <v>12598.599999999999</v>
      </c>
      <c r="J51" s="73">
        <f t="shared" si="4"/>
        <v>13228.529999999999</v>
      </c>
      <c r="K51" s="73">
        <f t="shared" si="5"/>
        <v>13858.46</v>
      </c>
    </row>
    <row r="52" spans="1:11" ht="14.25" customHeight="1">
      <c r="A52" s="66" t="s">
        <v>82</v>
      </c>
      <c r="B52" s="72" t="s">
        <v>118</v>
      </c>
      <c r="C52" s="72" t="s">
        <v>154</v>
      </c>
      <c r="D52" s="3"/>
      <c r="E52" s="73">
        <v>8305.7851239669417</v>
      </c>
      <c r="F52" s="68">
        <f t="shared" si="0"/>
        <v>14069.999999999998</v>
      </c>
      <c r="G52" s="73">
        <f t="shared" si="1"/>
        <v>12944.4</v>
      </c>
      <c r="H52" s="73">
        <f t="shared" si="2"/>
        <v>14773.499999999998</v>
      </c>
      <c r="I52" s="73">
        <f t="shared" si="3"/>
        <v>14069.999999999998</v>
      </c>
      <c r="J52" s="73">
        <f t="shared" si="4"/>
        <v>14773.499999999998</v>
      </c>
      <c r="K52" s="73">
        <f t="shared" si="5"/>
        <v>15477</v>
      </c>
    </row>
    <row r="53" spans="1:11" ht="14.25" customHeight="1">
      <c r="A53" s="66" t="s">
        <v>157</v>
      </c>
      <c r="B53" s="72" t="s">
        <v>118</v>
      </c>
      <c r="C53" s="72" t="s">
        <v>154</v>
      </c>
      <c r="D53" s="66"/>
      <c r="E53" s="73">
        <v>5004.1322314049585</v>
      </c>
      <c r="F53" s="68">
        <f t="shared" si="0"/>
        <v>8477</v>
      </c>
      <c r="G53" s="73">
        <f t="shared" si="1"/>
        <v>7798.84</v>
      </c>
      <c r="H53" s="73">
        <f t="shared" si="2"/>
        <v>8900.85</v>
      </c>
      <c r="I53" s="73">
        <f t="shared" si="3"/>
        <v>8477</v>
      </c>
      <c r="J53" s="73">
        <f t="shared" si="4"/>
        <v>8900.85</v>
      </c>
      <c r="K53" s="73">
        <f t="shared" si="5"/>
        <v>9324.7000000000007</v>
      </c>
    </row>
    <row r="54" spans="1:11" ht="14.25" customHeight="1">
      <c r="A54" s="66" t="s">
        <v>158</v>
      </c>
      <c r="B54" s="72" t="s">
        <v>118</v>
      </c>
      <c r="C54" s="72" t="s">
        <v>154</v>
      </c>
      <c r="D54" s="66"/>
      <c r="E54" s="73">
        <v>13185.950413223141</v>
      </c>
      <c r="F54" s="68">
        <f t="shared" si="0"/>
        <v>22336.999999999996</v>
      </c>
      <c r="G54" s="73">
        <f t="shared" si="1"/>
        <v>20550.039999999997</v>
      </c>
      <c r="H54" s="73">
        <f t="shared" si="2"/>
        <v>23453.85</v>
      </c>
      <c r="I54" s="73">
        <f t="shared" si="3"/>
        <v>22336.999999999996</v>
      </c>
      <c r="J54" s="73">
        <f t="shared" si="4"/>
        <v>23453.85</v>
      </c>
      <c r="K54" s="73">
        <f t="shared" si="5"/>
        <v>24570.699999999997</v>
      </c>
    </row>
    <row r="55" spans="1:11" ht="14.25" customHeight="1">
      <c r="A55" s="66" t="s">
        <v>159</v>
      </c>
      <c r="B55" s="72" t="s">
        <v>112</v>
      </c>
      <c r="C55" s="72" t="s">
        <v>154</v>
      </c>
      <c r="D55" s="66"/>
      <c r="E55" s="73">
        <v>15750.413223140496</v>
      </c>
      <c r="F55" s="68">
        <f t="shared" si="0"/>
        <v>26681.199999999997</v>
      </c>
      <c r="G55" s="73">
        <f t="shared" si="1"/>
        <v>24546.703999999998</v>
      </c>
      <c r="H55" s="74">
        <f t="shared" si="2"/>
        <v>28015.26</v>
      </c>
      <c r="I55" s="73">
        <f t="shared" si="3"/>
        <v>26681.199999999997</v>
      </c>
      <c r="J55" s="73">
        <f t="shared" si="4"/>
        <v>28015.26</v>
      </c>
      <c r="K55" s="73">
        <f t="shared" si="5"/>
        <v>29349.32</v>
      </c>
    </row>
    <row r="56" spans="1:11" ht="14.25" customHeight="1">
      <c r="A56" s="66" t="s">
        <v>160</v>
      </c>
      <c r="B56" s="72" t="s">
        <v>118</v>
      </c>
      <c r="C56" s="72" t="s">
        <v>154</v>
      </c>
      <c r="D56" s="66"/>
      <c r="E56" s="73">
        <v>2372.727272727273</v>
      </c>
      <c r="F56" s="68">
        <f t="shared" si="0"/>
        <v>4019.4</v>
      </c>
      <c r="G56" s="73">
        <f t="shared" si="1"/>
        <v>3697.8480000000004</v>
      </c>
      <c r="H56" s="74">
        <f t="shared" si="2"/>
        <v>4220.37</v>
      </c>
      <c r="I56" s="73">
        <f t="shared" si="3"/>
        <v>4019.4</v>
      </c>
      <c r="J56" s="73">
        <f t="shared" si="4"/>
        <v>4220.37</v>
      </c>
      <c r="K56" s="73">
        <f t="shared" si="5"/>
        <v>4421.34</v>
      </c>
    </row>
    <row r="57" spans="1:11" ht="14.25" customHeight="1">
      <c r="A57" s="66" t="s">
        <v>161</v>
      </c>
      <c r="B57" s="72" t="s">
        <v>118</v>
      </c>
      <c r="C57" s="72" t="s">
        <v>154</v>
      </c>
      <c r="D57" s="66"/>
      <c r="E57" s="73">
        <v>5004.1322314049585</v>
      </c>
      <c r="F57" s="68">
        <f t="shared" si="0"/>
        <v>8477</v>
      </c>
      <c r="G57" s="73">
        <f t="shared" si="1"/>
        <v>7798.84</v>
      </c>
      <c r="H57" s="74">
        <f t="shared" si="2"/>
        <v>8900.85</v>
      </c>
      <c r="I57" s="73">
        <f t="shared" si="3"/>
        <v>8477</v>
      </c>
      <c r="J57" s="73">
        <f t="shared" si="4"/>
        <v>8900.85</v>
      </c>
      <c r="K57" s="73">
        <f t="shared" si="5"/>
        <v>9324.7000000000007</v>
      </c>
    </row>
    <row r="58" spans="1:11" ht="14.25" customHeight="1">
      <c r="A58" s="66" t="s">
        <v>162</v>
      </c>
      <c r="B58" s="72" t="s">
        <v>118</v>
      </c>
      <c r="C58" s="72" t="s">
        <v>154</v>
      </c>
      <c r="D58" s="66"/>
      <c r="E58" s="73">
        <v>13185.950413223141</v>
      </c>
      <c r="F58" s="68">
        <f t="shared" si="0"/>
        <v>22336.999999999996</v>
      </c>
      <c r="G58" s="73">
        <f t="shared" si="1"/>
        <v>20550.039999999997</v>
      </c>
      <c r="H58" s="74">
        <f t="shared" si="2"/>
        <v>23453.85</v>
      </c>
      <c r="I58" s="73">
        <f t="shared" si="3"/>
        <v>22336.999999999996</v>
      </c>
      <c r="J58" s="73">
        <f t="shared" si="4"/>
        <v>23453.85</v>
      </c>
      <c r="K58" s="73">
        <f t="shared" si="5"/>
        <v>24570.699999999997</v>
      </c>
    </row>
    <row r="59" spans="1:11" ht="14.25" customHeight="1">
      <c r="A59" s="66" t="s">
        <v>163</v>
      </c>
      <c r="B59" s="72" t="s">
        <v>118</v>
      </c>
      <c r="C59" s="72" t="s">
        <v>154</v>
      </c>
      <c r="D59" s="66"/>
      <c r="E59" s="73">
        <v>14521.438016528926</v>
      </c>
      <c r="F59" s="68">
        <f t="shared" si="0"/>
        <v>24599.315999999995</v>
      </c>
      <c r="G59" s="73">
        <f t="shared" si="1"/>
        <v>22631.370719999995</v>
      </c>
      <c r="H59" s="74">
        <f t="shared" si="2"/>
        <v>25829.281799999997</v>
      </c>
      <c r="I59" s="73">
        <f t="shared" si="3"/>
        <v>24599.315999999995</v>
      </c>
      <c r="J59" s="73">
        <f t="shared" si="4"/>
        <v>25829.281799999997</v>
      </c>
      <c r="K59" s="73">
        <f t="shared" si="5"/>
        <v>27059.247599999999</v>
      </c>
    </row>
    <row r="60" spans="1:11" ht="14.25" customHeight="1">
      <c r="A60" s="75" t="s">
        <v>164</v>
      </c>
      <c r="B60" s="76" t="s">
        <v>118</v>
      </c>
      <c r="C60" s="76" t="s">
        <v>154</v>
      </c>
      <c r="D60" s="75"/>
      <c r="E60" s="77">
        <v>0</v>
      </c>
      <c r="F60" s="68">
        <f t="shared" si="0"/>
        <v>0</v>
      </c>
      <c r="G60" s="77">
        <f t="shared" si="1"/>
        <v>0</v>
      </c>
      <c r="H60" s="78">
        <f t="shared" si="2"/>
        <v>0</v>
      </c>
      <c r="I60" s="77">
        <f t="shared" si="3"/>
        <v>0</v>
      </c>
      <c r="J60" s="77">
        <f t="shared" si="4"/>
        <v>0</v>
      </c>
      <c r="K60" s="77">
        <f t="shared" si="5"/>
        <v>0</v>
      </c>
    </row>
    <row r="61" spans="1:11" ht="14.25" customHeight="1">
      <c r="A61" s="66" t="s">
        <v>165</v>
      </c>
      <c r="B61" s="72" t="s">
        <v>118</v>
      </c>
      <c r="C61" s="72" t="s">
        <v>154</v>
      </c>
      <c r="D61" s="66"/>
      <c r="E61" s="73">
        <v>40955.950413223138</v>
      </c>
      <c r="F61" s="68">
        <f t="shared" si="0"/>
        <v>69379.37999999999</v>
      </c>
      <c r="G61" s="73">
        <f t="shared" si="1"/>
        <v>63829.029599999994</v>
      </c>
      <c r="H61" s="74">
        <f t="shared" si="2"/>
        <v>72848.348999999987</v>
      </c>
      <c r="I61" s="73">
        <f t="shared" si="3"/>
        <v>69379.37999999999</v>
      </c>
      <c r="J61" s="73">
        <f t="shared" si="4"/>
        <v>72848.348999999987</v>
      </c>
      <c r="K61" s="73">
        <f t="shared" si="5"/>
        <v>76317.317999999999</v>
      </c>
    </row>
    <row r="62" spans="1:11" ht="14.25" customHeight="1">
      <c r="A62" s="66" t="s">
        <v>166</v>
      </c>
      <c r="B62" s="65" t="s">
        <v>121</v>
      </c>
      <c r="C62" s="66" t="s">
        <v>122</v>
      </c>
      <c r="D62" s="65">
        <v>6</v>
      </c>
      <c r="E62" s="69">
        <v>13213.851239669422</v>
      </c>
      <c r="F62" s="68">
        <f t="shared" si="0"/>
        <v>22384.263999999999</v>
      </c>
      <c r="G62" s="69">
        <f t="shared" si="1"/>
        <v>20593.52288</v>
      </c>
      <c r="H62" s="71">
        <f t="shared" si="2"/>
        <v>23503.477200000001</v>
      </c>
      <c r="I62" s="69">
        <f t="shared" si="3"/>
        <v>22384.263999999999</v>
      </c>
      <c r="J62" s="69">
        <f t="shared" si="4"/>
        <v>23503.477200000001</v>
      </c>
      <c r="K62" s="69">
        <f t="shared" si="5"/>
        <v>24622.690399999999</v>
      </c>
    </row>
    <row r="63" spans="1:11" ht="14.25" customHeight="1">
      <c r="A63" s="66" t="s">
        <v>167</v>
      </c>
      <c r="B63" s="65" t="s">
        <v>118</v>
      </c>
      <c r="C63" s="66" t="s">
        <v>122</v>
      </c>
      <c r="D63" s="65">
        <v>1</v>
      </c>
      <c r="E63" s="69">
        <v>4404.6170798898074</v>
      </c>
      <c r="F63" s="68">
        <f t="shared" si="0"/>
        <v>7461.4213333333328</v>
      </c>
      <c r="G63" s="69">
        <f t="shared" si="1"/>
        <v>6864.5076266666665</v>
      </c>
      <c r="H63" s="71">
        <f t="shared" si="2"/>
        <v>7834.4924000000001</v>
      </c>
      <c r="I63" s="69">
        <f t="shared" si="3"/>
        <v>7461.4213333333328</v>
      </c>
      <c r="J63" s="69">
        <f t="shared" si="4"/>
        <v>7834.4924000000001</v>
      </c>
      <c r="K63" s="69">
        <f t="shared" si="5"/>
        <v>8207.5634666666665</v>
      </c>
    </row>
    <row r="64" spans="1:11" ht="14.25" customHeight="1">
      <c r="A64" s="66" t="s">
        <v>168</v>
      </c>
      <c r="B64" s="65" t="s">
        <v>118</v>
      </c>
      <c r="C64" s="66" t="s">
        <v>154</v>
      </c>
      <c r="D64" s="65">
        <v>1</v>
      </c>
      <c r="E64" s="69">
        <v>80577.272727272735</v>
      </c>
      <c r="F64" s="68">
        <f t="shared" si="0"/>
        <v>136497.9</v>
      </c>
      <c r="G64" s="69">
        <f t="shared" si="1"/>
        <v>125578.068</v>
      </c>
      <c r="H64" s="71">
        <f t="shared" si="2"/>
        <v>143322.79500000001</v>
      </c>
      <c r="I64" s="69">
        <f t="shared" si="3"/>
        <v>136497.9</v>
      </c>
      <c r="J64" s="69">
        <f t="shared" si="4"/>
        <v>143322.79500000001</v>
      </c>
      <c r="K64" s="69">
        <f t="shared" si="5"/>
        <v>150147.69</v>
      </c>
    </row>
    <row r="65" spans="1:11" ht="14.25" customHeight="1">
      <c r="A65" s="66" t="s">
        <v>169</v>
      </c>
      <c r="B65" s="65" t="s">
        <v>118</v>
      </c>
      <c r="C65" s="66" t="s">
        <v>154</v>
      </c>
      <c r="D65" s="65">
        <v>1</v>
      </c>
      <c r="E65" s="69">
        <v>6710.7438016528931</v>
      </c>
      <c r="F65" s="68">
        <f t="shared" si="0"/>
        <v>11368</v>
      </c>
      <c r="G65" s="69">
        <f t="shared" si="1"/>
        <v>10458.560000000001</v>
      </c>
      <c r="H65" s="71">
        <f t="shared" si="2"/>
        <v>11936.4</v>
      </c>
      <c r="I65" s="69">
        <f t="shared" si="3"/>
        <v>11368</v>
      </c>
      <c r="J65" s="69">
        <f t="shared" si="4"/>
        <v>11936.4</v>
      </c>
      <c r="K65" s="69">
        <f t="shared" si="5"/>
        <v>12504.800000000001</v>
      </c>
    </row>
    <row r="66" spans="1:11" ht="14.25" customHeight="1">
      <c r="A66" s="66" t="s">
        <v>170</v>
      </c>
      <c r="B66" s="65" t="s">
        <v>118</v>
      </c>
      <c r="C66" s="66" t="s">
        <v>154</v>
      </c>
      <c r="D66" s="65">
        <v>1</v>
      </c>
      <c r="E66" s="69">
        <v>7971.4049586776855</v>
      </c>
      <c r="F66" s="68">
        <f t="shared" si="0"/>
        <v>13503.56</v>
      </c>
      <c r="G66" s="69">
        <f t="shared" si="1"/>
        <v>12423.2752</v>
      </c>
      <c r="H66" s="71">
        <f t="shared" si="2"/>
        <v>14178.737999999999</v>
      </c>
      <c r="I66" s="69">
        <f t="shared" si="3"/>
        <v>13503.56</v>
      </c>
      <c r="J66" s="69">
        <f t="shared" si="4"/>
        <v>14178.737999999999</v>
      </c>
      <c r="K66" s="69">
        <f t="shared" si="5"/>
        <v>14853.916000000001</v>
      </c>
    </row>
    <row r="67" spans="1:11" ht="14.25" customHeight="1">
      <c r="A67" s="66" t="s">
        <v>171</v>
      </c>
      <c r="B67" s="65" t="s">
        <v>118</v>
      </c>
      <c r="C67" s="66" t="s">
        <v>154</v>
      </c>
      <c r="D67" s="65">
        <v>1</v>
      </c>
      <c r="E67" s="69">
        <v>10817.322314049587</v>
      </c>
      <c r="F67" s="68">
        <f t="shared" si="0"/>
        <v>18324.543999999998</v>
      </c>
      <c r="G67" s="69">
        <f t="shared" si="1"/>
        <v>16858.580480000001</v>
      </c>
      <c r="H67" s="71">
        <f t="shared" si="2"/>
        <v>19240.771199999999</v>
      </c>
      <c r="I67" s="69">
        <f t="shared" si="3"/>
        <v>18324.543999999998</v>
      </c>
      <c r="J67" s="69">
        <f t="shared" si="4"/>
        <v>19240.771199999999</v>
      </c>
      <c r="K67" s="69">
        <f t="shared" si="5"/>
        <v>20156.9984</v>
      </c>
    </row>
    <row r="68" spans="1:11" ht="14.25" customHeight="1">
      <c r="A68" s="37"/>
      <c r="B68" s="37"/>
      <c r="C68" s="37"/>
      <c r="D68" s="37"/>
    </row>
    <row r="69" spans="1:11" ht="14.25" customHeight="1">
      <c r="A69" s="37"/>
      <c r="B69" s="37"/>
      <c r="C69" s="37"/>
      <c r="D69" s="37"/>
    </row>
    <row r="70" spans="1:11" ht="14.25" customHeight="1">
      <c r="A70" s="37"/>
      <c r="B70" s="37"/>
      <c r="C70" s="37"/>
      <c r="D70" s="37"/>
    </row>
    <row r="71" spans="1:11" ht="14.25" customHeight="1">
      <c r="A71" s="37"/>
      <c r="B71" s="37"/>
      <c r="C71" s="37"/>
      <c r="D71" s="37"/>
    </row>
    <row r="72" spans="1:11" ht="14.25" customHeight="1">
      <c r="A72" s="37"/>
      <c r="B72" s="37"/>
      <c r="C72" s="37"/>
      <c r="D72" s="37"/>
    </row>
    <row r="73" spans="1:11" ht="14.25" customHeight="1">
      <c r="A73" s="37"/>
      <c r="B73" s="37"/>
      <c r="C73" s="37"/>
      <c r="D73" s="37"/>
    </row>
    <row r="74" spans="1:11" ht="14.25" customHeight="1">
      <c r="A74" s="37"/>
      <c r="B74" s="37"/>
      <c r="C74" s="37"/>
      <c r="D74" s="37"/>
    </row>
    <row r="75" spans="1:11" ht="14.25" customHeight="1">
      <c r="A75" s="37"/>
      <c r="B75" s="37"/>
      <c r="C75" s="37"/>
      <c r="D75" s="37"/>
    </row>
    <row r="76" spans="1:11" ht="14.25" customHeight="1">
      <c r="A76" s="37"/>
      <c r="B76" s="37"/>
      <c r="C76" s="37"/>
      <c r="D76" s="37"/>
    </row>
    <row r="77" spans="1:11" ht="14.25" customHeight="1">
      <c r="A77" s="37"/>
      <c r="B77" s="37"/>
      <c r="C77" s="37"/>
      <c r="D77" s="37"/>
    </row>
    <row r="78" spans="1:11" ht="14.25" customHeight="1">
      <c r="A78" s="37"/>
      <c r="B78" s="37"/>
      <c r="C78" s="37"/>
      <c r="D78" s="37"/>
    </row>
    <row r="79" spans="1:11" ht="14.25" customHeight="1">
      <c r="A79" s="37"/>
      <c r="B79" s="37"/>
      <c r="C79" s="37"/>
      <c r="D79" s="37"/>
    </row>
    <row r="80" spans="1:11" ht="14.25" customHeight="1">
      <c r="A80" s="37"/>
      <c r="B80" s="37"/>
      <c r="C80" s="37"/>
      <c r="D80" s="37"/>
    </row>
    <row r="81" spans="1:4" ht="14.25" customHeight="1">
      <c r="A81" s="37"/>
      <c r="B81" s="37"/>
      <c r="C81" s="37"/>
      <c r="D81" s="37"/>
    </row>
    <row r="82" spans="1:4" ht="14.25" customHeight="1">
      <c r="A82" s="37"/>
      <c r="B82" s="37"/>
      <c r="C82" s="37"/>
      <c r="D82" s="37"/>
    </row>
    <row r="83" spans="1:4" ht="14.25" customHeight="1">
      <c r="A83" s="37"/>
      <c r="B83" s="37"/>
      <c r="C83" s="37"/>
      <c r="D83" s="37"/>
    </row>
    <row r="84" spans="1:4" ht="14.25" customHeight="1">
      <c r="A84" s="37"/>
      <c r="B84" s="37"/>
      <c r="C84" s="37"/>
      <c r="D84" s="37"/>
    </row>
    <row r="85" spans="1:4" ht="14.25" customHeight="1">
      <c r="A85" s="37"/>
      <c r="B85" s="37"/>
      <c r="C85" s="37"/>
      <c r="D85" s="37"/>
    </row>
    <row r="86" spans="1:4" ht="14.25" customHeight="1">
      <c r="A86" s="37"/>
      <c r="B86" s="37"/>
      <c r="C86" s="37"/>
      <c r="D86" s="37"/>
    </row>
    <row r="87" spans="1:4" ht="14.25" customHeight="1">
      <c r="A87" s="37"/>
      <c r="B87" s="37"/>
      <c r="C87" s="37"/>
      <c r="D87" s="37"/>
    </row>
    <row r="88" spans="1:4" ht="14.25" customHeight="1">
      <c r="A88" s="37"/>
      <c r="B88" s="37"/>
      <c r="C88" s="37"/>
      <c r="D88" s="37"/>
    </row>
    <row r="89" spans="1:4" ht="14.25" customHeight="1">
      <c r="A89" s="37"/>
      <c r="B89" s="37"/>
      <c r="C89" s="37"/>
      <c r="D89" s="37"/>
    </row>
    <row r="90" spans="1:4" ht="14.25" customHeight="1">
      <c r="A90" s="37"/>
      <c r="B90" s="37"/>
      <c r="C90" s="37"/>
      <c r="D90" s="37"/>
    </row>
    <row r="91" spans="1:4" ht="14.25" customHeight="1">
      <c r="A91" s="37"/>
      <c r="B91" s="37"/>
      <c r="C91" s="37"/>
      <c r="D91" s="37"/>
    </row>
    <row r="92" spans="1:4" ht="14.25" customHeight="1">
      <c r="A92" s="37"/>
      <c r="B92" s="37"/>
      <c r="C92" s="37"/>
      <c r="D92" s="37"/>
    </row>
    <row r="93" spans="1:4" ht="14.25" customHeight="1">
      <c r="A93" s="37"/>
      <c r="B93" s="37"/>
      <c r="C93" s="37"/>
      <c r="D93" s="37"/>
    </row>
    <row r="94" spans="1:4" ht="14.25" customHeight="1">
      <c r="A94" s="37"/>
      <c r="B94" s="37"/>
      <c r="C94" s="37"/>
      <c r="D94" s="37"/>
    </row>
    <row r="95" spans="1:4" ht="14.25" customHeight="1">
      <c r="A95" s="37"/>
      <c r="B95" s="37"/>
      <c r="C95" s="37"/>
      <c r="D95" s="37"/>
    </row>
    <row r="96" spans="1:4" ht="14.25" customHeight="1">
      <c r="A96" s="37"/>
      <c r="B96" s="37"/>
      <c r="C96" s="37"/>
      <c r="D96" s="37"/>
    </row>
    <row r="97" spans="1:4" ht="14.25" customHeight="1">
      <c r="A97" s="37"/>
      <c r="B97" s="37"/>
      <c r="C97" s="37"/>
      <c r="D97" s="37"/>
    </row>
    <row r="98" spans="1:4" ht="14.25" customHeight="1">
      <c r="A98" s="37"/>
      <c r="B98" s="37"/>
      <c r="C98" s="37"/>
      <c r="D98" s="37"/>
    </row>
    <row r="99" spans="1:4" ht="14.25" customHeight="1">
      <c r="A99" s="37"/>
      <c r="B99" s="37"/>
      <c r="C99" s="37"/>
      <c r="D99" s="37"/>
    </row>
    <row r="100" spans="1:4" ht="14.25" customHeight="1">
      <c r="A100" s="37"/>
      <c r="B100" s="37"/>
      <c r="C100" s="37"/>
      <c r="D100" s="37"/>
    </row>
    <row r="101" spans="1:4" ht="14.25" customHeight="1">
      <c r="A101" s="37"/>
      <c r="B101" s="37"/>
      <c r="C101" s="37"/>
      <c r="D101" s="37"/>
    </row>
    <row r="102" spans="1:4" ht="14.25" customHeight="1">
      <c r="A102" s="37"/>
      <c r="B102" s="37"/>
      <c r="C102" s="37"/>
      <c r="D102" s="37"/>
    </row>
    <row r="103" spans="1:4" ht="14.25" customHeight="1">
      <c r="A103" s="37"/>
      <c r="B103" s="37"/>
      <c r="C103" s="37"/>
      <c r="D103" s="37"/>
    </row>
    <row r="104" spans="1:4" ht="14.25" customHeight="1">
      <c r="A104" s="37"/>
      <c r="B104" s="37"/>
      <c r="C104" s="37"/>
      <c r="D104" s="37"/>
    </row>
    <row r="105" spans="1:4" ht="14.25" customHeight="1">
      <c r="A105" s="37"/>
      <c r="B105" s="37"/>
      <c r="C105" s="37"/>
      <c r="D105" s="37"/>
    </row>
    <row r="106" spans="1:4" ht="14.25" customHeight="1">
      <c r="A106" s="37"/>
      <c r="B106" s="37"/>
      <c r="C106" s="37"/>
      <c r="D106" s="37"/>
    </row>
    <row r="107" spans="1:4" ht="14.25" customHeight="1">
      <c r="A107" s="37"/>
      <c r="B107" s="37"/>
      <c r="C107" s="37"/>
      <c r="D107" s="37"/>
    </row>
    <row r="108" spans="1:4" ht="14.25" customHeight="1">
      <c r="A108" s="37"/>
      <c r="B108" s="37"/>
      <c r="C108" s="37"/>
      <c r="D108" s="37"/>
    </row>
    <row r="109" spans="1:4" ht="14.25" customHeight="1">
      <c r="A109" s="37"/>
      <c r="B109" s="37"/>
      <c r="C109" s="37"/>
      <c r="D109" s="37"/>
    </row>
    <row r="110" spans="1:4" ht="14.25" customHeight="1">
      <c r="A110" s="37"/>
      <c r="B110" s="37"/>
      <c r="C110" s="37"/>
      <c r="D110" s="37"/>
    </row>
    <row r="111" spans="1:4" ht="14.25" customHeight="1">
      <c r="A111" s="37"/>
      <c r="B111" s="37"/>
      <c r="C111" s="37"/>
      <c r="D111" s="37"/>
    </row>
    <row r="112" spans="1:4" ht="14.25" customHeight="1">
      <c r="A112" s="37"/>
      <c r="B112" s="37"/>
      <c r="C112" s="37"/>
      <c r="D112" s="37"/>
    </row>
    <row r="113" spans="1:4" ht="14.25" customHeight="1">
      <c r="A113" s="37"/>
      <c r="B113" s="37"/>
      <c r="C113" s="37"/>
      <c r="D113" s="37"/>
    </row>
    <row r="114" spans="1:4" ht="14.25" customHeight="1">
      <c r="A114" s="37"/>
      <c r="B114" s="37"/>
      <c r="C114" s="37"/>
      <c r="D114" s="37"/>
    </row>
    <row r="115" spans="1:4" ht="14.25" customHeight="1">
      <c r="A115" s="37"/>
      <c r="B115" s="37"/>
      <c r="C115" s="37"/>
      <c r="D115" s="37"/>
    </row>
    <row r="116" spans="1:4" ht="14.25" customHeight="1">
      <c r="A116" s="37"/>
      <c r="B116" s="37"/>
      <c r="C116" s="37"/>
      <c r="D116" s="37"/>
    </row>
    <row r="117" spans="1:4" ht="14.25" customHeight="1">
      <c r="A117" s="37"/>
      <c r="B117" s="37"/>
      <c r="C117" s="37"/>
      <c r="D117" s="37"/>
    </row>
    <row r="118" spans="1:4" ht="14.25" customHeight="1">
      <c r="A118" s="37"/>
      <c r="B118" s="37"/>
      <c r="C118" s="37"/>
      <c r="D118" s="37"/>
    </row>
    <row r="119" spans="1:4" ht="14.25" customHeight="1">
      <c r="A119" s="37"/>
      <c r="B119" s="37"/>
      <c r="C119" s="37"/>
      <c r="D119" s="37"/>
    </row>
    <row r="120" spans="1:4" ht="14.25" customHeight="1">
      <c r="A120" s="37"/>
      <c r="B120" s="37"/>
      <c r="C120" s="37"/>
      <c r="D120" s="37"/>
    </row>
    <row r="121" spans="1:4" ht="14.25" customHeight="1">
      <c r="A121" s="37"/>
      <c r="B121" s="37"/>
      <c r="C121" s="37"/>
      <c r="D121" s="37"/>
    </row>
    <row r="122" spans="1:4" ht="14.25" customHeight="1">
      <c r="A122" s="37"/>
      <c r="B122" s="37"/>
      <c r="C122" s="37"/>
      <c r="D122" s="37"/>
    </row>
    <row r="123" spans="1:4" ht="14.25" customHeight="1">
      <c r="A123" s="37"/>
      <c r="B123" s="37"/>
      <c r="C123" s="37"/>
      <c r="D123" s="37"/>
    </row>
    <row r="124" spans="1:4" ht="14.25" customHeight="1">
      <c r="A124" s="37"/>
      <c r="B124" s="37"/>
      <c r="C124" s="37"/>
      <c r="D124" s="37"/>
    </row>
    <row r="125" spans="1:4" ht="14.25" customHeight="1">
      <c r="A125" s="37"/>
      <c r="B125" s="37"/>
      <c r="C125" s="37"/>
      <c r="D125" s="37"/>
    </row>
    <row r="126" spans="1:4" ht="14.25" customHeight="1">
      <c r="A126" s="37"/>
      <c r="B126" s="37"/>
      <c r="C126" s="37"/>
      <c r="D126" s="37"/>
    </row>
    <row r="127" spans="1:4" ht="14.25" customHeight="1">
      <c r="A127" s="37"/>
      <c r="B127" s="37"/>
      <c r="C127" s="37"/>
      <c r="D127" s="37"/>
    </row>
    <row r="128" spans="1:4" ht="14.25" customHeight="1">
      <c r="A128" s="37"/>
      <c r="B128" s="37"/>
      <c r="C128" s="37"/>
      <c r="D128" s="37"/>
    </row>
    <row r="129" spans="1:4" ht="14.25" customHeight="1">
      <c r="A129" s="37"/>
      <c r="B129" s="37"/>
      <c r="C129" s="37"/>
      <c r="D129" s="37"/>
    </row>
    <row r="130" spans="1:4" ht="14.25" customHeight="1">
      <c r="A130" s="37"/>
      <c r="B130" s="37"/>
      <c r="C130" s="37"/>
      <c r="D130" s="37"/>
    </row>
    <row r="131" spans="1:4" ht="14.25" customHeight="1">
      <c r="A131" s="37"/>
      <c r="B131" s="37"/>
      <c r="C131" s="37"/>
      <c r="D131" s="37"/>
    </row>
    <row r="132" spans="1:4" ht="14.25" customHeight="1">
      <c r="A132" s="37"/>
      <c r="B132" s="37"/>
      <c r="C132" s="37"/>
      <c r="D132" s="37"/>
    </row>
    <row r="133" spans="1:4" ht="14.25" customHeight="1">
      <c r="A133" s="37"/>
      <c r="B133" s="37"/>
      <c r="C133" s="37"/>
      <c r="D133" s="37"/>
    </row>
    <row r="134" spans="1:4" ht="14.25" customHeight="1">
      <c r="A134" s="37"/>
      <c r="B134" s="37"/>
      <c r="C134" s="37"/>
      <c r="D134" s="37"/>
    </row>
    <row r="135" spans="1:4" ht="14.25" customHeight="1">
      <c r="A135" s="37"/>
      <c r="B135" s="37"/>
      <c r="C135" s="37"/>
      <c r="D135" s="37"/>
    </row>
    <row r="136" spans="1:4" ht="14.25" customHeight="1">
      <c r="A136" s="37"/>
      <c r="B136" s="37"/>
      <c r="C136" s="37"/>
      <c r="D136" s="37"/>
    </row>
    <row r="137" spans="1:4" ht="14.25" customHeight="1">
      <c r="A137" s="37"/>
      <c r="B137" s="37"/>
      <c r="C137" s="37"/>
      <c r="D137" s="37"/>
    </row>
    <row r="138" spans="1:4" ht="14.25" customHeight="1">
      <c r="A138" s="37"/>
      <c r="B138" s="37"/>
      <c r="C138" s="37"/>
      <c r="D138" s="37"/>
    </row>
    <row r="139" spans="1:4" ht="14.25" customHeight="1">
      <c r="A139" s="37"/>
      <c r="B139" s="37"/>
      <c r="C139" s="37"/>
      <c r="D139" s="37"/>
    </row>
    <row r="140" spans="1:4" ht="14.25" customHeight="1">
      <c r="A140" s="37"/>
      <c r="B140" s="37"/>
      <c r="C140" s="37"/>
      <c r="D140" s="37"/>
    </row>
    <row r="141" spans="1:4" ht="14.25" customHeight="1">
      <c r="A141" s="37"/>
      <c r="B141" s="37"/>
      <c r="C141" s="37"/>
      <c r="D141" s="37"/>
    </row>
    <row r="142" spans="1:4" ht="14.25" customHeight="1">
      <c r="A142" s="37"/>
      <c r="B142" s="37"/>
      <c r="C142" s="37"/>
      <c r="D142" s="37"/>
    </row>
    <row r="143" spans="1:4" ht="14.25" customHeight="1">
      <c r="A143" s="37"/>
      <c r="B143" s="37"/>
      <c r="C143" s="37"/>
      <c r="D143" s="37"/>
    </row>
    <row r="144" spans="1:4" ht="14.25" customHeight="1">
      <c r="A144" s="37"/>
      <c r="B144" s="37"/>
      <c r="C144" s="37"/>
      <c r="D144" s="37"/>
    </row>
    <row r="145" spans="1:4" ht="14.25" customHeight="1">
      <c r="A145" s="37"/>
      <c r="B145" s="37"/>
      <c r="C145" s="37"/>
      <c r="D145" s="37"/>
    </row>
    <row r="146" spans="1:4" ht="14.25" customHeight="1">
      <c r="A146" s="37"/>
      <c r="B146" s="37"/>
      <c r="C146" s="37"/>
      <c r="D146" s="37"/>
    </row>
    <row r="147" spans="1:4" ht="14.25" customHeight="1">
      <c r="A147" s="37"/>
      <c r="B147" s="37"/>
      <c r="C147" s="37"/>
      <c r="D147" s="37"/>
    </row>
    <row r="148" spans="1:4" ht="14.25" customHeight="1">
      <c r="A148" s="37"/>
      <c r="B148" s="37"/>
      <c r="C148" s="37"/>
      <c r="D148" s="37"/>
    </row>
    <row r="149" spans="1:4" ht="14.25" customHeight="1">
      <c r="A149" s="37"/>
      <c r="B149" s="37"/>
      <c r="C149" s="37"/>
      <c r="D149" s="37"/>
    </row>
    <row r="150" spans="1:4" ht="14.25" customHeight="1">
      <c r="A150" s="37"/>
      <c r="B150" s="37"/>
      <c r="C150" s="37"/>
      <c r="D150" s="37"/>
    </row>
    <row r="151" spans="1:4" ht="14.25" customHeight="1">
      <c r="A151" s="37"/>
      <c r="B151" s="37"/>
      <c r="C151" s="37"/>
      <c r="D151" s="37"/>
    </row>
    <row r="152" spans="1:4" ht="14.25" customHeight="1">
      <c r="A152" s="37"/>
      <c r="B152" s="37"/>
      <c r="C152" s="37"/>
      <c r="D152" s="37"/>
    </row>
    <row r="153" spans="1:4" ht="14.25" customHeight="1">
      <c r="A153" s="37"/>
      <c r="B153" s="37"/>
      <c r="C153" s="37"/>
      <c r="D153" s="37"/>
    </row>
    <row r="154" spans="1:4" ht="14.25" customHeight="1">
      <c r="A154" s="37"/>
      <c r="B154" s="37"/>
      <c r="C154" s="37"/>
      <c r="D154" s="37"/>
    </row>
    <row r="155" spans="1:4" ht="14.25" customHeight="1">
      <c r="A155" s="37"/>
      <c r="B155" s="37"/>
      <c r="C155" s="37"/>
      <c r="D155" s="37"/>
    </row>
    <row r="156" spans="1:4" ht="14.25" customHeight="1">
      <c r="A156" s="37"/>
      <c r="B156" s="37"/>
      <c r="C156" s="37"/>
      <c r="D156" s="37"/>
    </row>
    <row r="157" spans="1:4" ht="14.25" customHeight="1">
      <c r="A157" s="37"/>
      <c r="B157" s="37"/>
      <c r="C157" s="37"/>
      <c r="D157" s="37"/>
    </row>
    <row r="158" spans="1:4" ht="14.25" customHeight="1">
      <c r="A158" s="37"/>
      <c r="B158" s="37"/>
      <c r="C158" s="37"/>
      <c r="D158" s="37"/>
    </row>
    <row r="159" spans="1:4" ht="14.25" customHeight="1">
      <c r="A159" s="37"/>
      <c r="B159" s="37"/>
      <c r="C159" s="37"/>
      <c r="D159" s="37"/>
    </row>
    <row r="160" spans="1:4" ht="14.25" customHeight="1">
      <c r="A160" s="37"/>
      <c r="B160" s="37"/>
      <c r="C160" s="37"/>
      <c r="D160" s="37"/>
    </row>
    <row r="161" spans="1:4" ht="14.25" customHeight="1">
      <c r="A161" s="37"/>
      <c r="B161" s="37"/>
      <c r="C161" s="37"/>
      <c r="D161" s="37"/>
    </row>
    <row r="162" spans="1:4" ht="14.25" customHeight="1">
      <c r="A162" s="37"/>
      <c r="B162" s="37"/>
      <c r="C162" s="37"/>
      <c r="D162" s="37"/>
    </row>
    <row r="163" spans="1:4" ht="14.25" customHeight="1">
      <c r="A163" s="37"/>
      <c r="B163" s="37"/>
      <c r="C163" s="37"/>
      <c r="D163" s="37"/>
    </row>
    <row r="164" spans="1:4" ht="14.25" customHeight="1">
      <c r="A164" s="37"/>
      <c r="B164" s="37"/>
      <c r="C164" s="37"/>
      <c r="D164" s="37"/>
    </row>
    <row r="165" spans="1:4" ht="14.25" customHeight="1">
      <c r="A165" s="37"/>
      <c r="B165" s="37"/>
      <c r="C165" s="37"/>
      <c r="D165" s="37"/>
    </row>
    <row r="166" spans="1:4" ht="14.25" customHeight="1">
      <c r="A166" s="37"/>
      <c r="B166" s="37"/>
      <c r="C166" s="37"/>
      <c r="D166" s="37"/>
    </row>
    <row r="167" spans="1:4" ht="14.25" customHeight="1">
      <c r="A167" s="37"/>
      <c r="B167" s="37"/>
      <c r="C167" s="37"/>
      <c r="D167" s="37"/>
    </row>
    <row r="168" spans="1:4" ht="14.25" customHeight="1">
      <c r="A168" s="37"/>
      <c r="B168" s="37"/>
      <c r="C168" s="37"/>
      <c r="D168" s="37"/>
    </row>
    <row r="169" spans="1:4" ht="14.25" customHeight="1">
      <c r="A169" s="37"/>
      <c r="B169" s="37"/>
      <c r="C169" s="37"/>
      <c r="D169" s="37"/>
    </row>
    <row r="170" spans="1:4" ht="14.25" customHeight="1">
      <c r="A170" s="37"/>
      <c r="B170" s="37"/>
      <c r="C170" s="37"/>
      <c r="D170" s="37"/>
    </row>
    <row r="171" spans="1:4" ht="14.25" customHeight="1">
      <c r="A171" s="37"/>
      <c r="B171" s="37"/>
      <c r="C171" s="37"/>
      <c r="D171" s="37"/>
    </row>
    <row r="172" spans="1:4" ht="14.25" customHeight="1">
      <c r="A172" s="37"/>
      <c r="B172" s="37"/>
      <c r="C172" s="37"/>
      <c r="D172" s="37"/>
    </row>
    <row r="173" spans="1:4" ht="14.25" customHeight="1">
      <c r="A173" s="37"/>
      <c r="B173" s="37"/>
      <c r="C173" s="37"/>
      <c r="D173" s="37"/>
    </row>
    <row r="174" spans="1:4" ht="14.25" customHeight="1">
      <c r="A174" s="37"/>
      <c r="B174" s="37"/>
      <c r="C174" s="37"/>
      <c r="D174" s="37"/>
    </row>
    <row r="175" spans="1:4" ht="14.25" customHeight="1">
      <c r="A175" s="37"/>
      <c r="B175" s="37"/>
      <c r="C175" s="37"/>
      <c r="D175" s="37"/>
    </row>
    <row r="176" spans="1:4" ht="14.25" customHeight="1">
      <c r="A176" s="37"/>
      <c r="B176" s="37"/>
      <c r="C176" s="37"/>
      <c r="D176" s="37"/>
    </row>
    <row r="177" spans="1:4" ht="14.25" customHeight="1">
      <c r="A177" s="37"/>
      <c r="B177" s="37"/>
      <c r="C177" s="37"/>
      <c r="D177" s="37"/>
    </row>
    <row r="178" spans="1:4" ht="14.25" customHeight="1">
      <c r="A178" s="37"/>
      <c r="B178" s="37"/>
      <c r="C178" s="37"/>
      <c r="D178" s="37"/>
    </row>
    <row r="179" spans="1:4" ht="14.25" customHeight="1">
      <c r="A179" s="37"/>
      <c r="B179" s="37"/>
      <c r="C179" s="37"/>
      <c r="D179" s="37"/>
    </row>
    <row r="180" spans="1:4" ht="14.25" customHeight="1">
      <c r="A180" s="37"/>
      <c r="B180" s="37"/>
      <c r="C180" s="37"/>
      <c r="D180" s="37"/>
    </row>
    <row r="181" spans="1:4" ht="14.25" customHeight="1">
      <c r="A181" s="37"/>
      <c r="B181" s="37"/>
      <c r="C181" s="37"/>
      <c r="D181" s="37"/>
    </row>
    <row r="182" spans="1:4" ht="14.25" customHeight="1">
      <c r="A182" s="37"/>
      <c r="B182" s="37"/>
      <c r="C182" s="37"/>
      <c r="D182" s="37"/>
    </row>
    <row r="183" spans="1:4" ht="14.25" customHeight="1">
      <c r="A183" s="37"/>
      <c r="B183" s="37"/>
      <c r="C183" s="37"/>
      <c r="D183" s="37"/>
    </row>
    <row r="184" spans="1:4" ht="14.25" customHeight="1">
      <c r="A184" s="37"/>
      <c r="B184" s="37"/>
      <c r="C184" s="37"/>
      <c r="D184" s="37"/>
    </row>
    <row r="185" spans="1:4" ht="14.25" customHeight="1">
      <c r="A185" s="37"/>
      <c r="B185" s="37"/>
      <c r="C185" s="37"/>
      <c r="D185" s="37"/>
    </row>
    <row r="186" spans="1:4" ht="14.25" customHeight="1">
      <c r="A186" s="37"/>
      <c r="B186" s="37"/>
      <c r="C186" s="37"/>
      <c r="D186" s="37"/>
    </row>
    <row r="187" spans="1:4" ht="14.25" customHeight="1">
      <c r="A187" s="37"/>
      <c r="B187" s="37"/>
      <c r="C187" s="37"/>
      <c r="D187" s="37"/>
    </row>
    <row r="188" spans="1:4" ht="14.25" customHeight="1">
      <c r="A188" s="37"/>
      <c r="B188" s="37"/>
      <c r="C188" s="37"/>
      <c r="D188" s="37"/>
    </row>
    <row r="189" spans="1:4" ht="14.25" customHeight="1">
      <c r="A189" s="37"/>
      <c r="B189" s="37"/>
      <c r="C189" s="37"/>
      <c r="D189" s="37"/>
    </row>
    <row r="190" spans="1:4" ht="14.25" customHeight="1">
      <c r="A190" s="37"/>
      <c r="B190" s="37"/>
      <c r="C190" s="37"/>
      <c r="D190" s="37"/>
    </row>
    <row r="191" spans="1:4" ht="14.25" customHeight="1">
      <c r="A191" s="37"/>
      <c r="B191" s="37"/>
      <c r="C191" s="37"/>
      <c r="D191" s="37"/>
    </row>
    <row r="192" spans="1:4" ht="14.25" customHeight="1">
      <c r="A192" s="37"/>
      <c r="B192" s="37"/>
      <c r="C192" s="37"/>
      <c r="D192" s="37"/>
    </row>
    <row r="193" spans="1:4" ht="14.25" customHeight="1">
      <c r="A193" s="37"/>
      <c r="B193" s="37"/>
      <c r="C193" s="37"/>
      <c r="D193" s="37"/>
    </row>
    <row r="194" spans="1:4" ht="14.25" customHeight="1">
      <c r="A194" s="37"/>
      <c r="B194" s="37"/>
      <c r="C194" s="37"/>
      <c r="D194" s="37"/>
    </row>
    <row r="195" spans="1:4" ht="14.25" customHeight="1">
      <c r="A195" s="37"/>
      <c r="B195" s="37"/>
      <c r="C195" s="37"/>
      <c r="D195" s="37"/>
    </row>
    <row r="196" spans="1:4" ht="14.25" customHeight="1">
      <c r="A196" s="37"/>
      <c r="B196" s="37"/>
      <c r="C196" s="37"/>
      <c r="D196" s="37"/>
    </row>
    <row r="197" spans="1:4" ht="14.25" customHeight="1">
      <c r="A197" s="37"/>
      <c r="B197" s="37"/>
      <c r="C197" s="37"/>
      <c r="D197" s="37"/>
    </row>
    <row r="198" spans="1:4" ht="14.25" customHeight="1">
      <c r="A198" s="37"/>
      <c r="B198" s="37"/>
      <c r="C198" s="37"/>
      <c r="D198" s="37"/>
    </row>
    <row r="199" spans="1:4" ht="14.25" customHeight="1">
      <c r="A199" s="37"/>
      <c r="B199" s="37"/>
      <c r="C199" s="37"/>
      <c r="D199" s="37"/>
    </row>
    <row r="200" spans="1:4" ht="14.25" customHeight="1">
      <c r="A200" s="37"/>
      <c r="B200" s="37"/>
      <c r="C200" s="37"/>
      <c r="D200" s="37"/>
    </row>
    <row r="201" spans="1:4" ht="14.25" customHeight="1">
      <c r="A201" s="37"/>
      <c r="B201" s="37"/>
      <c r="C201" s="37"/>
      <c r="D201" s="37"/>
    </row>
    <row r="202" spans="1:4" ht="14.25" customHeight="1">
      <c r="A202" s="37"/>
      <c r="B202" s="37"/>
      <c r="C202" s="37"/>
      <c r="D202" s="37"/>
    </row>
    <row r="203" spans="1:4" ht="14.25" customHeight="1">
      <c r="A203" s="37"/>
      <c r="B203" s="37"/>
      <c r="C203" s="37"/>
      <c r="D203" s="37"/>
    </row>
    <row r="204" spans="1:4" ht="14.25" customHeight="1">
      <c r="A204" s="37"/>
      <c r="B204" s="37"/>
      <c r="C204" s="37"/>
      <c r="D204" s="37"/>
    </row>
    <row r="205" spans="1:4" ht="14.25" customHeight="1">
      <c r="A205" s="37"/>
      <c r="B205" s="37"/>
      <c r="C205" s="37"/>
      <c r="D205" s="37"/>
    </row>
    <row r="206" spans="1:4" ht="14.25" customHeight="1">
      <c r="A206" s="37"/>
      <c r="B206" s="37"/>
      <c r="C206" s="37"/>
      <c r="D206" s="37"/>
    </row>
    <row r="207" spans="1:4" ht="14.25" customHeight="1">
      <c r="A207" s="37"/>
      <c r="B207" s="37"/>
      <c r="C207" s="37"/>
      <c r="D207" s="37"/>
    </row>
    <row r="208" spans="1:4" ht="14.25" customHeight="1">
      <c r="A208" s="37"/>
      <c r="B208" s="37"/>
      <c r="C208" s="37"/>
      <c r="D208" s="37"/>
    </row>
    <row r="209" spans="1:4" ht="14.25" customHeight="1">
      <c r="A209" s="37"/>
      <c r="B209" s="37"/>
      <c r="C209" s="37"/>
      <c r="D209" s="37"/>
    </row>
    <row r="210" spans="1:4" ht="14.25" customHeight="1">
      <c r="A210" s="37"/>
      <c r="B210" s="37"/>
      <c r="C210" s="37"/>
      <c r="D210" s="37"/>
    </row>
    <row r="211" spans="1:4" ht="14.25" customHeight="1">
      <c r="A211" s="37"/>
      <c r="B211" s="37"/>
      <c r="C211" s="37"/>
      <c r="D211" s="37"/>
    </row>
    <row r="212" spans="1:4" ht="14.25" customHeight="1">
      <c r="A212" s="37"/>
      <c r="B212" s="37"/>
      <c r="C212" s="37"/>
      <c r="D212" s="37"/>
    </row>
    <row r="213" spans="1:4" ht="14.25" customHeight="1">
      <c r="A213" s="37"/>
      <c r="B213" s="37"/>
      <c r="C213" s="37"/>
      <c r="D213" s="37"/>
    </row>
    <row r="214" spans="1:4" ht="14.25" customHeight="1">
      <c r="A214" s="37"/>
      <c r="B214" s="37"/>
      <c r="C214" s="37"/>
      <c r="D214" s="37"/>
    </row>
    <row r="215" spans="1:4" ht="14.25" customHeight="1">
      <c r="A215" s="37"/>
      <c r="B215" s="37"/>
      <c r="C215" s="37"/>
      <c r="D215" s="37"/>
    </row>
    <row r="216" spans="1:4" ht="14.25" customHeight="1">
      <c r="A216" s="37"/>
      <c r="B216" s="37"/>
      <c r="C216" s="37"/>
      <c r="D216" s="37"/>
    </row>
    <row r="217" spans="1:4" ht="14.25" customHeight="1">
      <c r="A217" s="37"/>
      <c r="B217" s="37"/>
      <c r="C217" s="37"/>
      <c r="D217" s="37"/>
    </row>
    <row r="218" spans="1:4" ht="14.25" customHeight="1">
      <c r="A218" s="37"/>
      <c r="B218" s="37"/>
      <c r="C218" s="37"/>
      <c r="D218" s="37"/>
    </row>
    <row r="219" spans="1:4" ht="14.25" customHeight="1">
      <c r="A219" s="37"/>
      <c r="B219" s="37"/>
      <c r="C219" s="37"/>
      <c r="D219" s="37"/>
    </row>
    <row r="220" spans="1:4" ht="14.25" customHeight="1">
      <c r="A220" s="37"/>
      <c r="B220" s="37"/>
      <c r="C220" s="37"/>
      <c r="D220" s="37"/>
    </row>
    <row r="221" spans="1:4" ht="14.25" customHeight="1">
      <c r="A221" s="37"/>
      <c r="B221" s="37"/>
      <c r="C221" s="37"/>
      <c r="D221" s="37"/>
    </row>
    <row r="222" spans="1:4" ht="14.25" customHeight="1">
      <c r="A222" s="37"/>
      <c r="B222" s="37"/>
      <c r="C222" s="37"/>
      <c r="D222" s="37"/>
    </row>
    <row r="223" spans="1:4" ht="14.25" customHeight="1">
      <c r="A223" s="37"/>
      <c r="B223" s="37"/>
      <c r="C223" s="37"/>
      <c r="D223" s="37"/>
    </row>
    <row r="224" spans="1:4" ht="14.25" customHeight="1">
      <c r="A224" s="37"/>
      <c r="B224" s="37"/>
      <c r="C224" s="37"/>
      <c r="D224" s="37"/>
    </row>
    <row r="225" spans="1:4" ht="14.25" customHeight="1">
      <c r="A225" s="37"/>
      <c r="B225" s="37"/>
      <c r="C225" s="37"/>
      <c r="D225" s="37"/>
    </row>
    <row r="226" spans="1:4" ht="14.25" customHeight="1">
      <c r="A226" s="37"/>
      <c r="B226" s="37"/>
      <c r="C226" s="37"/>
      <c r="D226" s="37"/>
    </row>
    <row r="227" spans="1:4" ht="14.25" customHeight="1">
      <c r="A227" s="37"/>
      <c r="B227" s="37"/>
      <c r="C227" s="37"/>
      <c r="D227" s="37"/>
    </row>
    <row r="228" spans="1:4" ht="14.25" customHeight="1">
      <c r="A228" s="37"/>
      <c r="B228" s="37"/>
      <c r="C228" s="37"/>
      <c r="D228" s="37"/>
    </row>
    <row r="229" spans="1:4" ht="14.25" customHeight="1">
      <c r="A229" s="37"/>
      <c r="B229" s="37"/>
      <c r="C229" s="37"/>
      <c r="D229" s="37"/>
    </row>
    <row r="230" spans="1:4" ht="14.25" customHeight="1">
      <c r="A230" s="37"/>
      <c r="B230" s="37"/>
      <c r="C230" s="37"/>
      <c r="D230" s="37"/>
    </row>
    <row r="231" spans="1:4" ht="14.25" customHeight="1">
      <c r="A231" s="37"/>
      <c r="B231" s="37"/>
      <c r="C231" s="37"/>
      <c r="D231" s="37"/>
    </row>
    <row r="232" spans="1:4" ht="14.25" customHeight="1">
      <c r="A232" s="37"/>
      <c r="B232" s="37"/>
      <c r="C232" s="37"/>
      <c r="D232" s="37"/>
    </row>
    <row r="233" spans="1:4" ht="14.25" customHeight="1">
      <c r="A233" s="37"/>
      <c r="B233" s="37"/>
      <c r="C233" s="37"/>
      <c r="D233" s="37"/>
    </row>
    <row r="234" spans="1:4" ht="14.25" customHeight="1">
      <c r="A234" s="37"/>
      <c r="B234" s="37"/>
      <c r="C234" s="37"/>
      <c r="D234" s="37"/>
    </row>
    <row r="235" spans="1:4" ht="15.75" customHeight="1"/>
    <row r="236" spans="1:4" ht="15.75" customHeight="1"/>
    <row r="237" spans="1:4" ht="15.75" customHeight="1"/>
    <row r="238" spans="1:4" ht="15.75" customHeight="1"/>
    <row r="239" spans="1:4" ht="15.75" customHeight="1"/>
    <row r="240" spans="1: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de precios</vt:lpstr>
      <vt:lpstr>Tejidos romboidales</vt:lpstr>
      <vt:lpstr>Articulos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Sebastián</cp:lastModifiedBy>
  <dcterms:modified xsi:type="dcterms:W3CDTF">2025-10-13T20:24:58Z</dcterms:modified>
</cp:coreProperties>
</file>